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435" activeTab="9"/>
  </bookViews>
  <sheets>
    <sheet name="Rules" sheetId="21" r:id="rId1"/>
    <sheet name="1.jan" sheetId="36" r:id="rId2"/>
    <sheet name="2.feb" sheetId="24" r:id="rId3"/>
    <sheet name="3.march" sheetId="37" r:id="rId4"/>
    <sheet name="4.apr" sheetId="38" r:id="rId5"/>
    <sheet name="5.may" sheetId="40" r:id="rId6"/>
    <sheet name="6.june " sheetId="41" r:id="rId7"/>
    <sheet name="7.july" sheetId="39" r:id="rId8"/>
    <sheet name="8,aug" sheetId="42" r:id="rId9"/>
    <sheet name="9.sept" sheetId="43" r:id="rId10"/>
  </sheets>
  <calcPr calcId="152511"/>
</workbook>
</file>

<file path=xl/calcChain.xml><?xml version="1.0" encoding="utf-8"?>
<calcChain xmlns="http://schemas.openxmlformats.org/spreadsheetml/2006/main">
  <c r="F2" i="43" l="1"/>
  <c r="O3" i="43" s="1"/>
  <c r="K2" i="43"/>
  <c r="M3" i="43"/>
  <c r="I2" i="43"/>
  <c r="H2" i="43"/>
  <c r="G2" i="43"/>
  <c r="E2" i="43"/>
  <c r="D2" i="43"/>
  <c r="C2" i="43"/>
  <c r="B2" i="43"/>
  <c r="O1" i="43"/>
  <c r="F2" i="42"/>
  <c r="O2" i="43" l="1"/>
  <c r="O3" i="39"/>
  <c r="P2" i="42" l="1"/>
  <c r="M3" i="42" l="1"/>
  <c r="I2" i="42"/>
  <c r="H2" i="42"/>
  <c r="G2" i="42"/>
  <c r="E2" i="42"/>
  <c r="D2" i="42"/>
  <c r="C2" i="42"/>
  <c r="B2" i="42"/>
  <c r="O1" i="42"/>
  <c r="O2" i="42" l="1"/>
  <c r="O3" i="42"/>
  <c r="K2" i="42"/>
  <c r="P3" i="41"/>
  <c r="O3" i="41"/>
  <c r="M3" i="41"/>
  <c r="O2" i="41"/>
  <c r="I2" i="41"/>
  <c r="H2" i="41"/>
  <c r="G2" i="41"/>
  <c r="F2" i="41"/>
  <c r="E2" i="41"/>
  <c r="D2" i="41"/>
  <c r="C2" i="41"/>
  <c r="B2" i="41"/>
  <c r="O1" i="41"/>
  <c r="K2" i="41" l="1"/>
  <c r="O1" i="38"/>
  <c r="P3" i="39" l="1"/>
  <c r="P3" i="40" l="1"/>
  <c r="O3" i="40"/>
  <c r="M3" i="40"/>
  <c r="O2" i="40"/>
  <c r="I2" i="40"/>
  <c r="H2" i="40"/>
  <c r="G2" i="40"/>
  <c r="F2" i="40"/>
  <c r="E2" i="40"/>
  <c r="D2" i="40"/>
  <c r="C2" i="40"/>
  <c r="B2" i="40"/>
  <c r="O1" i="40"/>
  <c r="K2" i="40" l="1"/>
  <c r="O1" i="39"/>
  <c r="M3" i="39" l="1"/>
  <c r="O2" i="39"/>
  <c r="I2" i="39"/>
  <c r="H2" i="39"/>
  <c r="G2" i="39"/>
  <c r="F2" i="39"/>
  <c r="E2" i="39"/>
  <c r="D2" i="39"/>
  <c r="C2" i="39"/>
  <c r="B2" i="39"/>
  <c r="K2" i="39" l="1"/>
  <c r="P3" i="38"/>
  <c r="O3" i="38"/>
  <c r="M3" i="38"/>
  <c r="O2" i="38"/>
  <c r="I2" i="38"/>
  <c r="H2" i="38"/>
  <c r="G2" i="38"/>
  <c r="F2" i="38"/>
  <c r="E2" i="38"/>
  <c r="D2" i="38"/>
  <c r="C2" i="38"/>
  <c r="B2" i="38"/>
  <c r="K2" i="38" l="1"/>
  <c r="M3" i="37"/>
  <c r="P3" i="37" l="1"/>
  <c r="O3" i="37" l="1"/>
  <c r="O2" i="37"/>
  <c r="I2" i="37"/>
  <c r="H2" i="37"/>
  <c r="G2" i="37"/>
  <c r="F2" i="37"/>
  <c r="E2" i="37"/>
  <c r="D2" i="37"/>
  <c r="C2" i="37"/>
  <c r="B2" i="37"/>
  <c r="O1" i="37"/>
  <c r="K2" i="37" l="1"/>
  <c r="I2" i="24"/>
  <c r="E2" i="24"/>
  <c r="F2" i="24"/>
  <c r="G2" i="24"/>
  <c r="H2" i="24"/>
  <c r="D2" i="24"/>
  <c r="C2" i="24"/>
  <c r="B2" i="24"/>
  <c r="K2" i="24" l="1"/>
  <c r="J2" i="36"/>
  <c r="F2" i="36"/>
  <c r="K2" i="36" s="1"/>
  <c r="M3" i="36" l="1"/>
  <c r="D2" i="36"/>
  <c r="E2" i="36"/>
  <c r="G2" i="36"/>
  <c r="H2" i="36"/>
  <c r="C2" i="36"/>
  <c r="O40" i="36"/>
  <c r="O27" i="36"/>
  <c r="O4" i="36"/>
  <c r="O3" i="36"/>
  <c r="P2" i="36"/>
  <c r="B2" i="36"/>
  <c r="O1" i="36"/>
  <c r="O2" i="36" l="1"/>
  <c r="O3" i="24" l="1"/>
  <c r="O2" i="24" l="1"/>
  <c r="O1" i="24"/>
  <c r="M3" i="24"/>
</calcChain>
</file>

<file path=xl/sharedStrings.xml><?xml version="1.0" encoding="utf-8"?>
<sst xmlns="http://schemas.openxmlformats.org/spreadsheetml/2006/main" count="1041" uniqueCount="582">
  <si>
    <t>hours studied</t>
  </si>
  <si>
    <t>misc-unavoidable</t>
  </si>
  <si>
    <t>current month wastage</t>
  </si>
  <si>
    <t>ofc</t>
  </si>
  <si>
    <t>Rules</t>
  </si>
  <si>
    <t>Always replace a bad habbit with good habbit</t>
  </si>
  <si>
    <t>you can open while preparing ganji and washing vessels</t>
  </si>
  <si>
    <t>Best time pass</t>
  </si>
  <si>
    <t>Read books on fib</t>
  </si>
  <si>
    <t>see dance songs and practice dance</t>
  </si>
  <si>
    <t>Mobile/ TV/youtube rules</t>
  </si>
  <si>
    <t>or listen songs and learn the lyrics and memorise them</t>
  </si>
  <si>
    <t>day</t>
  </si>
  <si>
    <t>wasted hours</t>
  </si>
  <si>
    <t>studied hours</t>
  </si>
  <si>
    <t>wasted-avoidable</t>
  </si>
  <si>
    <t>wasted-un avoidable</t>
  </si>
  <si>
    <t>target</t>
  </si>
  <si>
    <t>https://www.youtube.com/watch?v=KSLeXFe28LE</t>
  </si>
  <si>
    <t>time table</t>
  </si>
  <si>
    <t>AM</t>
  </si>
  <si>
    <t>subject</t>
  </si>
  <si>
    <t>soaking</t>
  </si>
  <si>
    <t>punctuality related- Be always punctual,</t>
  </si>
  <si>
    <t>Total wastage</t>
  </si>
  <si>
    <t>Main problems</t>
  </si>
  <si>
    <t xml:space="preserve">Target -hib,mvn
</t>
  </si>
  <si>
    <t>Dinner timings-30 min-- Eating 20 min, dishwashing -10min (keep timer before eating)</t>
  </si>
  <si>
    <t>10 % read</t>
  </si>
  <si>
    <t>20% hear</t>
  </si>
  <si>
    <t>30% see</t>
  </si>
  <si>
    <t>80% practice</t>
  </si>
  <si>
    <t>we retain</t>
  </si>
  <si>
    <t>studied 
hours</t>
  </si>
  <si>
    <t>Total wasted hours</t>
  </si>
  <si>
    <t xml:space="preserve">
daily min 2.5 gone- 1-yoga, 1-ready, 0.5-soaking,water
1) with in 2 hours - you should complete daily activites - sun 20, yoga 50, bath20, tiffin 20,  pooja 20 mins
2)  soaking 15, bring water- 15 mins - will not be counted
so this 2.5 hour will not be counted below
3) stopped khashayms for santu as per doctor
4) news 30, eve sun will not be counted henceforth</t>
  </si>
  <si>
    <t xml:space="preserve">Always prepare the plan what to read
</t>
  </si>
  <si>
    <t xml:space="preserve">2) jeevitham lo bagu padalante - oka niyamam undali- </t>
  </si>
  <si>
    <t xml:space="preserve">weekend Tips:- 
1) I should see  Saturday /Sunday as opportunity for learning
we should wakeup early and be more strict on Sunday and utilize holidays/atleast treat them as working days
2) goto temple 9:30 AM every sat and sunday to habitute to a schedule &amp; to make myself wokeup 
</t>
  </si>
  <si>
    <t>Monthly rules</t>
  </si>
  <si>
    <t>work</t>
  </si>
  <si>
    <t xml:space="preserve">misc-avoid
able
</t>
  </si>
  <si>
    <t>youtube
TV/
movies</t>
  </si>
  <si>
    <t>sollu
calls</t>
  </si>
  <si>
    <t>1) shutdown all media-TV/Youtube/WORK by 9:45PM even friday Saturday and sunday
 (if u don’t close by9:45PM then u will wokeup late morning 1.5 hr gone)</t>
  </si>
  <si>
    <t>dustbin</t>
  </si>
  <si>
    <t>bath</t>
  </si>
  <si>
    <t>tifffin</t>
  </si>
  <si>
    <t>dish wash</t>
  </si>
  <si>
    <t>total-max</t>
  </si>
  <si>
    <t>kitchen
/house work</t>
  </si>
  <si>
    <t>morning finish tiffin before 9,9-930 dishwash, soaking</t>
  </si>
  <si>
    <t>Don’t eat food with santu- she always starts a movie- I will just continue</t>
  </si>
  <si>
    <t>Every target must have a dead line</t>
  </si>
  <si>
    <t xml:space="preserve">130-630 </t>
  </si>
  <si>
    <t>travel,diner</t>
  </si>
  <si>
    <t>sleep</t>
  </si>
  <si>
    <t>un avoidable</t>
  </si>
  <si>
    <t>pooja,temple</t>
  </si>
  <si>
    <t>news</t>
  </si>
  <si>
    <t>sleep for 8 hours- if less also don’t wakeup just sleep and close ur eyes- today I wokeup after 7hrs and again slept as eyes dry</t>
  </si>
  <si>
    <t>don’t make pudina khashayam (do only once in a month)</t>
  </si>
  <si>
    <t>dust,bath</t>
  </si>
  <si>
    <t>study</t>
  </si>
  <si>
    <t>never bring raw ground nut, to open half kg it will take 30 min- full time waste</t>
  </si>
  <si>
    <t>kitchen help max-15 mins</t>
  </si>
  <si>
    <t>dish wash -15 mins</t>
  </si>
  <si>
    <t>soaking -mrng +even -30mins</t>
  </si>
  <si>
    <t>khashayams -30 mins</t>
  </si>
  <si>
    <t xml:space="preserve">monthly max 1 movie in ott </t>
  </si>
  <si>
    <t>apex</t>
  </si>
  <si>
    <t>1230-130 lunch,travel</t>
  </si>
  <si>
    <t xml:space="preserve">max 3 times postponement/procastination- after that no postponement - we must do </t>
  </si>
  <si>
    <t>utilized ofc hours for study + means I utilized, - means I lost</t>
  </si>
  <si>
    <t xml:space="preserve">syllabus comp in mins </t>
  </si>
  <si>
    <t>admin</t>
  </si>
  <si>
    <t>lwc</t>
  </si>
  <si>
    <t>rest</t>
  </si>
  <si>
    <t>30 mins per day</t>
  </si>
  <si>
    <t>150 days</t>
  </si>
  <si>
    <t>45 mins per day</t>
  </si>
  <si>
    <t>120 days</t>
  </si>
  <si>
    <t>4m</t>
  </si>
  <si>
    <t>jan-april</t>
  </si>
  <si>
    <t>5m</t>
  </si>
  <si>
    <t>jan-may</t>
  </si>
  <si>
    <t>don’t talk reg charan its time waste, ataya is hurting- dec 27</t>
  </si>
  <si>
    <t>Tips:- 
1) I should see  Saturday /Sunday as opportunity for learning
we should wakeup early and be more strict on Sunday and utilize holidays
2) don’t talk lontalk talk long any call from 9-12
And dont touch cell phone from 9 AM- dont see any video till next day
3) shutdown after 930 towake up by 530 see orange sun
4) prepare ganji &amp; eat dinner during meeting s scrum calls
5) dont watch movie every sunday, max 1 movie per month not 1 per weekend</t>
  </si>
  <si>
    <t>total pending hours 
as on jan1</t>
  </si>
  <si>
    <t xml:space="preserve">movies- </t>
  </si>
  <si>
    <t>sheet</t>
  </si>
  <si>
    <t>1-  house clean trees, calls reg dilshad aunty money issue,1.5-new year shoping</t>
  </si>
  <si>
    <t>waste shopping new year</t>
  </si>
  <si>
    <t>dialy veg help-10,3 times soaking 15 mins, dish wash -10 mins</t>
  </si>
  <si>
    <t>sun-10 mins, walking 45 mins is not logged, yoga 20 mins</t>
  </si>
  <si>
    <t>when I mentioned less num - means that video is completed
ap-apex, ad-admin</t>
  </si>
  <si>
    <t>ap 276</t>
  </si>
  <si>
    <t>Learning rules- first see udemy video after that only search in chatGPT - else time waste - un neccesarily searching</t>
  </si>
  <si>
    <t>eat 1 PM sharp , evening eat by 6PM sharp--eat before 8 - so that u wont wakeup for toilet midnight</t>
  </si>
  <si>
    <t>pudina khashayam done on jan-3</t>
  </si>
  <si>
    <t>1- mom calls reg house vacate</t>
  </si>
  <si>
    <t>ap 282</t>
  </si>
  <si>
    <t>total</t>
  </si>
  <si>
    <t>washing help, machine repair -2</t>
  </si>
  <si>
    <t>soaking-15 mins, dish wash -10, mixi tifin prep 10</t>
  </si>
  <si>
    <t>1) doing BCB during day time, sollu calls, over movies, over youtube</t>
  </si>
  <si>
    <t>ad 111-113</t>
  </si>
  <si>
    <t>pure time waste-books 0.5,BCB sleep-2</t>
  </si>
  <si>
    <t>ap 106-109 ad114-116</t>
  </si>
  <si>
    <t>temple</t>
  </si>
  <si>
    <t>youtube- mega start audio launch 1,shows- 3 roses,</t>
  </si>
  <si>
    <t>house shopping-amz ear plugs</t>
  </si>
  <si>
    <t>went to kavali for sankranthi</t>
  </si>
  <si>
    <t>vs code issues, formatter plugin wasted, sol- youtube,amz shoipng,1.5- mohan</t>
  </si>
  <si>
    <t>6- insurance rejection calls</t>
  </si>
  <si>
    <t>lwc -36</t>
  </si>
  <si>
    <t>travel planning-2,tour planning,cancel</t>
  </si>
  <si>
    <t>ad 117-119</t>
  </si>
  <si>
    <t>ad 120-121</t>
  </si>
  <si>
    <t>5-rmm tour plan -train cancel,</t>
  </si>
  <si>
    <t>4- radhika house mohan issue, movie- raja saab</t>
  </si>
  <si>
    <t>ad122-ad126</t>
  </si>
  <si>
    <t>5.5- mf redeem, post, 1- bathroom cleaning</t>
  </si>
  <si>
    <t>630-7,7-730</t>
  </si>
  <si>
    <t>ready,kit help,yoga</t>
  </si>
  <si>
    <t>9-12:00</t>
  </si>
  <si>
    <t>730-8</t>
  </si>
  <si>
    <t>8-830</t>
  </si>
  <si>
    <t>830-9</t>
  </si>
  <si>
    <t>soak,pooja</t>
  </si>
  <si>
    <t>tiffin,dishwash</t>
  </si>
  <si>
    <t>12-1215</t>
  </si>
  <si>
    <t>1-1:30</t>
  </si>
  <si>
    <t>lunch, ofc travel</t>
  </si>
  <si>
    <t>walking</t>
  </si>
  <si>
    <t>1215-1,</t>
  </si>
  <si>
    <t>630-8</t>
  </si>
  <si>
    <t>8-1030</t>
  </si>
  <si>
    <t>1.5-financial talks</t>
  </si>
  <si>
    <t>3.5-gold buying</t>
  </si>
  <si>
    <t>BCB</t>
  </si>
  <si>
    <t>2-BCB</t>
  </si>
  <si>
    <t>khashayam-0.5,kitchen help-4.5,house help 1.75, veg shop 0.5</t>
  </si>
  <si>
    <t>2.5 -gold</t>
  </si>
  <si>
    <t>1- house shopinf</t>
  </si>
  <si>
    <t>tcs interview</t>
  </si>
  <si>
    <t>relatives meet - kavya 8, attayya 8</t>
  </si>
  <si>
    <t>8-went to kavya house with attayya</t>
  </si>
  <si>
    <t>8-attayya movies-naari naari naduma murari</t>
  </si>
  <si>
    <t>movie-ayalean,raja saab, naari, shankar, anagana oka raj</t>
  </si>
  <si>
    <t>daily-20 mins soaking,10 mins dishwash</t>
  </si>
  <si>
    <t>kitchen help</t>
  </si>
  <si>
    <t>subject studied</t>
  </si>
  <si>
    <t>lwc -45</t>
  </si>
  <si>
    <t>office work (+ means I utilised, - means I did ofc work)</t>
  </si>
  <si>
    <t>bcb</t>
  </si>
  <si>
    <t>2-bcb</t>
  </si>
  <si>
    <t>khahsyams</t>
  </si>
  <si>
    <t>video 47</t>
  </si>
  <si>
    <t>1.5-vaddi, video -46</t>
  </si>
  <si>
    <t>mohan calls- 4, video-51</t>
  </si>
  <si>
    <t>mohan,mohan mom calls-2, video -53</t>
  </si>
  <si>
    <t>financial 7.5, gold-10.5,last year cal 4,ins cals 6 ,post -3, mf reddem 2</t>
  </si>
  <si>
    <t>2-BCB,movie- mana shankar vara prasad</t>
  </si>
  <si>
    <t>lwc-37-38.5</t>
  </si>
  <si>
    <t>lwc-38.5-41</t>
  </si>
  <si>
    <t>time pass</t>
  </si>
  <si>
    <t>real estate home buying plan thinking-kollu</t>
  </si>
  <si>
    <t>lwc-49</t>
  </si>
  <si>
    <t>lwc 46</t>
  </si>
  <si>
    <t>lwc-48,47</t>
  </si>
  <si>
    <t>0.5-real estate,1- movie review,5-euphoria movie</t>
  </si>
  <si>
    <t>0.5-mohan , 1- relatives, 0.5-house shop,1.5-sheet -cal</t>
  </si>
  <si>
    <t>sun,kit help,yoga,khashyam</t>
  </si>
  <si>
    <t>water -0.75,calls- atha</t>
  </si>
  <si>
    <t>went to kvz, for tata dinam, swaroop fun</t>
  </si>
  <si>
    <t>BCB,house shopping</t>
  </si>
  <si>
    <t>financial , calc1.5, bank gold loan-3</t>
  </si>
  <si>
    <t>house shopping- groceries -1 ,water - 0.75, plastic can,dmart -1</t>
  </si>
  <si>
    <t>went to bank for gold loan,dmart-1</t>
  </si>
  <si>
    <t>2-bcb,0.75- mohan train</t>
  </si>
  <si>
    <t>lwc-50</t>
  </si>
  <si>
    <t>lwc 52-55</t>
  </si>
  <si>
    <t>lwc-56, apex-126</t>
  </si>
  <si>
    <t xml:space="preserve">5-attended salesforce webinar,dude- movie,1- weekend totakura </t>
  </si>
  <si>
    <t>Don’t do walking in morning times- do the walking evening times or when sollu calls -as anyways by eve u will get bored by eve-</t>
  </si>
  <si>
    <t>1-walking,0.5- time pass,1.5- bathroom, khas,dosa</t>
  </si>
  <si>
    <t>apex 127-131</t>
  </si>
  <si>
    <t xml:space="preserve">movie- durandhar,euphoria,dude, love today </t>
  </si>
  <si>
    <t>sowmya marriage</t>
  </si>
  <si>
    <t>3.5- sowmya calls, train ticket</t>
  </si>
  <si>
    <t>dairy</t>
  </si>
  <si>
    <t>pure time waste</t>
  </si>
  <si>
    <t>BCB-3, 0.75- pure time waste,went for oil-3</t>
  </si>
  <si>
    <t>major problems- BCB, movies</t>
  </si>
  <si>
    <t>khashayams</t>
  </si>
  <si>
    <t>daily max 2.5 u should get ready</t>
  </si>
  <si>
    <t>apex 140,141</t>
  </si>
  <si>
    <t>0.5- time pass, 0.5- head ache</t>
  </si>
  <si>
    <t>lwc 57-60</t>
  </si>
  <si>
    <t>lwc 61-64</t>
  </si>
  <si>
    <t>1.5- charan resume help, calls- mohan, charan</t>
  </si>
  <si>
    <t>lwc practice 61-64</t>
  </si>
  <si>
    <t>water complaints</t>
  </si>
  <si>
    <t>financial</t>
  </si>
  <si>
    <t>water complaint-2, financial-0.5</t>
  </si>
  <si>
    <t>6-kollur search,1.5- totakura help,0.5- misc kitchen help</t>
  </si>
  <si>
    <t>2- house buying analysis</t>
  </si>
  <si>
    <t>8-synergy park interview,1- rent house search</t>
  </si>
  <si>
    <t>lwc 62-64</t>
  </si>
  <si>
    <t>lwc -65,66</t>
  </si>
  <si>
    <t>3- rent house search In kondapur</t>
  </si>
  <si>
    <t>real estate  house search 7 ,  analysis-1,rent house-4-kondapur</t>
  </si>
  <si>
    <t>practice</t>
  </si>
  <si>
    <t xml:space="preserve">1.5- swarup train chennai </t>
  </si>
  <si>
    <t>chair shopping -2.5</t>
  </si>
  <si>
    <t>chair buying went to nampally</t>
  </si>
  <si>
    <t>6.5-sai hospital</t>
  </si>
  <si>
    <t>sai hospital 6.5,health insurance 1.5, stem cell 4.5</t>
  </si>
  <si>
    <t xml:space="preserve">1.5-  santu exam help,1- aaku koora,0.5-water,4.5 -health insurance, sai stem cells, movie-24 </t>
  </si>
  <si>
    <t>2.5- santu resume apply- ibm,amgen,3.5- chair shoping</t>
  </si>
  <si>
    <t>charan resume help 1.5, swarup train ,calls</t>
  </si>
  <si>
    <t>4-semen analysis,1.25- calls charan helping him</t>
  </si>
  <si>
    <t>apex-127</t>
  </si>
  <si>
    <t>apex 132</t>
  </si>
  <si>
    <t>apex-136-138</t>
  </si>
  <si>
    <t>house work- bathroom clean, clean 1,house shop</t>
  </si>
  <si>
    <t>1-house clean, 1-BCB</t>
  </si>
  <si>
    <t xml:space="preserve">dialy kitchen work should be max 1 hour- (khashayam-0.5, antlu-soakin 0.5)
</t>
  </si>
  <si>
    <t xml:space="preserve">studied java </t>
  </si>
  <si>
    <t xml:space="preserve">decided to go in java </t>
  </si>
  <si>
    <t>1.5- santu resume- wipro, cap, cog,2.5- my resume,1.5-temple,0.75- sollu calls with mohan</t>
  </si>
  <si>
    <t>java 17 features</t>
  </si>
  <si>
    <t>decided java</t>
  </si>
  <si>
    <t>santu exam help -resume naukari 4</t>
  </si>
  <si>
    <t>1-water, veg shopping,1-sf decision</t>
  </si>
  <si>
    <t>my resume 2.5, sf decision 1</t>
  </si>
  <si>
    <t>j-17 features</t>
  </si>
  <si>
    <t>relatives meeti- bindu pin</t>
  </si>
  <si>
    <t>5- bindu pin son barasala</t>
  </si>
  <si>
    <t>santu pickup</t>
  </si>
  <si>
    <t>aws 74-81</t>
  </si>
  <si>
    <t>0.5-med buy</t>
  </si>
  <si>
    <t>aws 81-87</t>
  </si>
  <si>
    <t>santosh trip search</t>
  </si>
  <si>
    <t>aws 73</t>
  </si>
  <si>
    <t>2.5- sai hosp, 1- naukari</t>
  </si>
  <si>
    <t>aws 65</t>
  </si>
  <si>
    <t>kitchen , house work- cash with,water 1 , house shoping,med,bathroom cle-1</t>
  </si>
  <si>
    <t xml:space="preserve">neelima sollu calls </t>
  </si>
  <si>
    <t>1-veg shop ,0.5- kha,kit help,1-bathroom clean,3.5- neelima came,2.5- new busin analy</t>
  </si>
  <si>
    <t>new business analysis</t>
  </si>
  <si>
    <t>AWS 66-68</t>
  </si>
  <si>
    <t>3.5 -tv serial</t>
  </si>
  <si>
    <t>movies (monthly max 2)- DeAr, vishnu vinyasam-9, movie-24,USTAAD, 3.5- tv serial, kerala stories movie -total 6 movies</t>
  </si>
  <si>
    <t>4-financial calculations</t>
  </si>
  <si>
    <t>aws 88-95</t>
  </si>
  <si>
    <t xml:space="preserve">over new </t>
  </si>
  <si>
    <t>3- listening to syria news</t>
  </si>
  <si>
    <t>0.5- kitchen help</t>
  </si>
  <si>
    <t>temple- temple should be max 30 mins not hours</t>
  </si>
  <si>
    <t>hospital-semn androgen, hair cut-1,hosp-1</t>
  </si>
  <si>
    <t>1-hair cut,1-hosp,1-veg shopping,1-over temple</t>
  </si>
  <si>
    <t xml:space="preserve">use unhook chrome exetnsion -- to hide recommendations,home page videos  in youtube </t>
  </si>
  <si>
    <t>aws 96-103, spr 20-22</t>
  </si>
  <si>
    <t>target- aws,  react</t>
  </si>
  <si>
    <t>2.5- calls with swarup,teja,han,mohan,mom,sai</t>
  </si>
  <si>
    <t>r-3.5,aws 104-112</t>
  </si>
  <si>
    <t>1.5- submit medibudy claim amounts, 0.5- chair shopping</t>
  </si>
  <si>
    <t>house related shopping- veg buy1, millet shop buy</t>
  </si>
  <si>
    <t>tcs interviews</t>
  </si>
  <si>
    <t>9-230</t>
  </si>
  <si>
    <t>tcs interview,5- interview</t>
  </si>
  <si>
    <t>11-3 charan institution visit -10k coders</t>
  </si>
  <si>
    <t>11-3 charan institution visit -code gnan,1-anj call ,1-financial</t>
  </si>
  <si>
    <t>0.5- house shopping</t>
  </si>
  <si>
    <t>aws 123-127</t>
  </si>
  <si>
    <t>1-house work, water,1- sailu calls</t>
  </si>
  <si>
    <t>react-4th video</t>
  </si>
  <si>
    <t>charan institution  visit, sailu cab</t>
  </si>
  <si>
    <t>aws 116-118</t>
  </si>
  <si>
    <t>fnds meet-aswin</t>
  </si>
  <si>
    <t>1-aswin meet,1- kitchen help</t>
  </si>
  <si>
    <t>aws 136-137</t>
  </si>
  <si>
    <t>2.5- sabdam movie,1- groc shopping, dmart,3.5- BCB sleep, 1.5 kitchne help, 1.5- podium mall</t>
  </si>
  <si>
    <t>aws 133-135</t>
  </si>
  <si>
    <t>0.75 - hosp blood booking,3-insurance docs</t>
  </si>
  <si>
    <t>read insurance docs</t>
  </si>
  <si>
    <t>react-7</t>
  </si>
  <si>
    <t>1- listening songs ,1-BCB,0.5- hosp research</t>
  </si>
  <si>
    <t>hosp related- claims 1.5, SMA test research -0.5</t>
  </si>
  <si>
    <t>2-hosp santu blood, my-androcare</t>
  </si>
  <si>
    <t>aws 139- 141</t>
  </si>
  <si>
    <t>4- hosp- shilpi , scan TVS</t>
  </si>
  <si>
    <t xml:space="preserve">hospital-semn androgen, apollo blood test,kims tvs scan </t>
  </si>
  <si>
    <t>chaitu gift</t>
  </si>
  <si>
    <t>akka 5-8, aws vpc-5</t>
  </si>
  <si>
    <t>akka 10-15,react -8,9</t>
  </si>
  <si>
    <t xml:space="preserve">time pass 1, went to podium mall, over thinking </t>
  </si>
  <si>
    <t>0.5- pure time pass</t>
  </si>
  <si>
    <t xml:space="preserve"> petrol Q -1, santu pickup </t>
  </si>
  <si>
    <t xml:space="preserve">1- extra sleep due to over water drinking,1- petrol </t>
  </si>
  <si>
    <t xml:space="preserve">virtual thread utube </t>
  </si>
  <si>
    <t>2- BCB should have been done before 930</t>
  </si>
  <si>
    <t>BCB rules- BCB must be done before 9:30 PM else other may rest</t>
  </si>
  <si>
    <t>akka 16</t>
  </si>
  <si>
    <t>0.5-chair</t>
  </si>
  <si>
    <t>movies (prev march month saw 6 movies) -bhartha mahasayulaku,LIK, sabdam, youth</t>
  </si>
  <si>
    <t xml:space="preserve">1-kitchn ehelp, 0.5- shopping, chaitu gift-0.75,1- chair </t>
  </si>
  <si>
    <t>0.5- bag stich</t>
  </si>
  <si>
    <t>when bored- listen 1 song in jio music or see sheets</t>
  </si>
  <si>
    <t>personal shoping-chair 1, bag stich, nlr sai gift 0.25</t>
  </si>
  <si>
    <t>1-BCB</t>
  </si>
  <si>
    <t>kitchen , house work-, bathroom cleaning,water 1</t>
  </si>
  <si>
    <t xml:space="preserve">daily kitchen work should be max 30 mins- washing vessesl, soaking , </t>
  </si>
  <si>
    <t>aws 142</t>
  </si>
  <si>
    <t>financial,bank</t>
  </si>
  <si>
    <t>spr react 13-15</t>
  </si>
  <si>
    <t>sreact 16-21</t>
  </si>
  <si>
    <t>movie-kerala stories 2</t>
  </si>
  <si>
    <t>preg book</t>
  </si>
  <si>
    <t>movie- trance,1- claims,1-bathroom, house ,over youtube</t>
  </si>
  <si>
    <t>react 10,11, aws145,146</t>
  </si>
  <si>
    <t>aws 147</t>
  </si>
  <si>
    <t xml:space="preserve">surfing </t>
  </si>
  <si>
    <t>BCB-1.5</t>
  </si>
  <si>
    <t>tcs interviews-9,3-sailu airport</t>
  </si>
  <si>
    <t>went to kavali roopa seemantham</t>
  </si>
  <si>
    <t xml:space="preserve">in kavali, travelled to chirala </t>
  </si>
  <si>
    <t>3-sleep just came from clx</t>
  </si>
  <si>
    <t xml:space="preserve">roopa seemantham </t>
  </si>
  <si>
    <t>aws-149-153</t>
  </si>
  <si>
    <t xml:space="preserve">3-sleep due to test tablets </t>
  </si>
  <si>
    <t>BCB-3.5, 0.75- bellam cut</t>
  </si>
  <si>
    <t>2.5- genetic med meet session</t>
  </si>
  <si>
    <t xml:space="preserve">4- hosp genetic rohit doctor rainbow </t>
  </si>
  <si>
    <t>hospital- genitic meeting 2.5,rainbow 4</t>
  </si>
  <si>
    <t>4- calls with abi saw australia, mohan, ataya,1-temp,resume</t>
  </si>
  <si>
    <t>0.5- water ,sheet -0.5,1.5- preg book</t>
  </si>
  <si>
    <t xml:space="preserve">preg book </t>
  </si>
  <si>
    <t>1- BCB sleep</t>
  </si>
  <si>
    <t>react 11 revision ,react12</t>
  </si>
  <si>
    <t>react 13</t>
  </si>
  <si>
    <t>2-BCB, 0.75- santu resume, applied to AA, zensar</t>
  </si>
  <si>
    <t>0.5-silver sell,1- calls tcs interview</t>
  </si>
  <si>
    <t>aws 158-161</t>
  </si>
  <si>
    <t>aws 162-164</t>
  </si>
  <si>
    <t>read aws without any distraction,1.5-BCB</t>
  </si>
  <si>
    <t>0.3-water,1-ghmc complaint</t>
  </si>
  <si>
    <t>ghmc complaint</t>
  </si>
  <si>
    <t>react -14,15</t>
  </si>
  <si>
    <t>q2-q5</t>
  </si>
  <si>
    <t>studying interview question</t>
  </si>
  <si>
    <t>aws 154-157,iq</t>
  </si>
  <si>
    <t>bcb -5</t>
  </si>
  <si>
    <t>1- knife issue,1.5-BCB,1- house work ,1.5- ramp</t>
  </si>
  <si>
    <t>movies  - kerala stories 2, trance,ugly</t>
  </si>
  <si>
    <t>3.5- movie- ugly,sai drop</t>
  </si>
  <si>
    <t>react 17</t>
  </si>
  <si>
    <t>react 16</t>
  </si>
  <si>
    <t>0.75- wood pickup, veg,1.5- mangoes</t>
  </si>
  <si>
    <t>aws 165-171 , react 18,20</t>
  </si>
  <si>
    <t>sailu airport-3, santu pickup- 1</t>
  </si>
  <si>
    <t>1-movie , trance, 6-hosp checkup</t>
  </si>
  <si>
    <t>spr react 22,23</t>
  </si>
  <si>
    <t>aws 173,174</t>
  </si>
  <si>
    <r>
      <t>target- aws (complete daily 30 mins syllabus ),  react (daily 30mins 22 may-22 july),</t>
    </r>
    <r>
      <rPr>
        <b/>
        <u/>
        <sz val="10"/>
        <color theme="1"/>
        <rFont val="Segoe UI"/>
        <family val="2"/>
      </rPr>
      <t>monthly complete 15 hours of any syllabus</t>
    </r>
  </si>
  <si>
    <t>over sleep , over kitchen work</t>
  </si>
  <si>
    <t>react 22, 2 hrs prac</t>
  </si>
  <si>
    <t>1-excess sleep ,1-res</t>
  </si>
  <si>
    <t>react 21</t>
  </si>
  <si>
    <t>1.25-tcs work</t>
  </si>
  <si>
    <t>tcs interviews-9th may- 7.5, tcs work 1.25</t>
  </si>
  <si>
    <t>kitchen-1 , house work-0.25, bathroom cleaning 1.5,hc-0.75,water 1.25, weekend -1, veg help -1</t>
  </si>
  <si>
    <t xml:space="preserve">financial- silver sell, nps 0.5,bank loan </t>
  </si>
  <si>
    <t xml:space="preserve">1.5 extra sleep due to power cut, 0.25-bank loan </t>
  </si>
  <si>
    <t>0.75- frid veg shopping house work</t>
  </si>
  <si>
    <t>house related shopping- veg buy 0.5, millet shop buy,gun,oil</t>
  </si>
  <si>
    <t>2-oil bring,2.5- extra sleep,1.5- santu aws teach</t>
  </si>
  <si>
    <t>resume , santu resume -1.25, my resum ,aws teach -1.5</t>
  </si>
  <si>
    <t>aws 175-178,react 23</t>
  </si>
  <si>
    <t xml:space="preserve">went to kavali  </t>
  </si>
  <si>
    <t>react 27 ,prac</t>
  </si>
  <si>
    <t xml:space="preserve"> </t>
  </si>
  <si>
    <t>target- aws (complete daily 30 mins syllabus ),  react (daily 30mins 22 may-22 july),monthly complete 15 hours of any syllabus</t>
  </si>
  <si>
    <t>aws 179-181</t>
  </si>
  <si>
    <t xml:space="preserve">1) plan the day and keep watch - if u dont plan day will wasted, stop mobile &amp;stop all works@ 9:00AM &amp;keep cell away from 9:00-12:30 &amp;  don’t talk lontalk talk long any call from 930-12 
2)  once reading starts then No deviation for  2 hours -means we should not use mobile,youtube, no google search of  topics other than subject 
(if u get bored see amazon/ only 1 song in jio savn- dont open  youtube)
 </t>
  </si>
  <si>
    <t>youtube- audio release , trailers, gamechanger</t>
  </si>
  <si>
    <t>react -28, spr ai</t>
  </si>
  <si>
    <t>react- 29,30</t>
  </si>
  <si>
    <t>1- tcs work interviews</t>
  </si>
  <si>
    <t>spr 5,6,7,9, react prac</t>
  </si>
  <si>
    <t>tcs work interviews -1,ampf prod deploy 6</t>
  </si>
  <si>
    <t>6-prod deployment,0.5- my pant search,0.75- santu teach aws</t>
  </si>
  <si>
    <t>aws 182- 188</t>
  </si>
  <si>
    <t>Food related -keep always 20 mins timer during tiffin,lunch , dinner and eat,rem 10 mins dish wash</t>
  </si>
  <si>
    <r>
      <t xml:space="preserve">1) Open TV/youtube only twice  in a day - don’t open in lunch  time as it is consuming more time (dinner -max15 mins)
 2) per day max youtube/TV is 30 minutes even on weekends-1st keep alarm and then see, 2 movies a month max
3) </t>
    </r>
    <r>
      <rPr>
        <b/>
        <sz val="12"/>
        <color theme="0"/>
        <rFont val="Calibri"/>
        <family val="2"/>
        <scheme val="minor"/>
      </rPr>
      <t>after 9:30 AM if u got bored , then just listen audio songs, dont see any video- if u see even a small video- later u will search it will waste ur time 
4) monthly max 2 movies- house +theatre (never goto 7PM 1st show bec this u will reach home by 11 PM u will sleep at 11:30PM)</t>
    </r>
    <r>
      <rPr>
        <sz val="11"/>
        <color theme="0"/>
        <rFont val="Calibri"/>
        <family val="2"/>
        <scheme val="minor"/>
      </rPr>
      <t xml:space="preserve">
note- if u already saw a movie on previous day don’t see on next day to compensate</t>
    </r>
  </si>
  <si>
    <t>my shopping slippers</t>
  </si>
  <si>
    <t>0.75-BCB,3- slippers dmart shoping, 2- myn BCB</t>
  </si>
  <si>
    <t>react 32</t>
  </si>
  <si>
    <t>1-sleep due to back pain</t>
  </si>
  <si>
    <t>react 33-35</t>
  </si>
  <si>
    <t>bike svc</t>
  </si>
  <si>
    <t>react 36</t>
  </si>
  <si>
    <t>2.5- bday calls</t>
  </si>
  <si>
    <t>react 37</t>
  </si>
  <si>
    <t xml:space="preserve">0.75- real estate cal </t>
  </si>
  <si>
    <t xml:space="preserve">my job search , in linked in </t>
  </si>
  <si>
    <t>react 37, aws 189-193</t>
  </si>
  <si>
    <t>3.5- 2 BCB, 0.5- movie booking,1.5- train book</t>
  </si>
  <si>
    <t>train book</t>
  </si>
  <si>
    <t>2.5-bike svc, pick up</t>
  </si>
  <si>
    <t>1- hosp back pain, 3- sleep due to night back pain</t>
  </si>
  <si>
    <t>spr ai 11-14</t>
  </si>
  <si>
    <t xml:space="preserve">mangoes pickup </t>
  </si>
  <si>
    <t xml:space="preserve">pure time waste -5.3 like surfing, car search 0.3 ,rent house </t>
  </si>
  <si>
    <t>extra ofc work</t>
  </si>
  <si>
    <t>2- sailu calls before flight</t>
  </si>
  <si>
    <t>aws 128-132</t>
  </si>
  <si>
    <t xml:space="preserve"> over sleep due to extra water </t>
  </si>
  <si>
    <t>3- charan inst help</t>
  </si>
  <si>
    <t>roopa visit to ongole-</t>
  </si>
  <si>
    <t xml:space="preserve">went to ogl to see sai daughter </t>
  </si>
  <si>
    <t>react without prac</t>
  </si>
  <si>
    <t>maternity insurance enq</t>
  </si>
  <si>
    <t>1- santu accenture apply,5.5- rainbow genetic rep coll</t>
  </si>
  <si>
    <t xml:space="preserve">house related shopping- veg buy 0.5, millet shop buy, HELMET SHOP </t>
  </si>
  <si>
    <t>fnds resumehelp 0.3, charan help 0.25, sailu resum tcs</t>
  </si>
  <si>
    <t>full back pain went to pvg hosp</t>
  </si>
  <si>
    <t xml:space="preserve">0.5-songs,1- sys clean </t>
  </si>
  <si>
    <t>react 41,42.5</t>
  </si>
  <si>
    <t>bcb sleep -3</t>
  </si>
  <si>
    <t xml:space="preserve">resume , santu resume -2, my resume, santu teach 1 aws, int help </t>
  </si>
  <si>
    <t>2.5-BCB, 7- santu infosys inte help</t>
  </si>
  <si>
    <t xml:space="preserve">santu pickup -1, resort search </t>
  </si>
  <si>
    <t>react 38,39,40, spr ai -15</t>
  </si>
  <si>
    <t>4- santu resume naukrai prof updae</t>
  </si>
  <si>
    <t>4-went to oasis hosp</t>
  </si>
  <si>
    <t>react prac</t>
  </si>
  <si>
    <t>react 42</t>
  </si>
  <si>
    <t>1- helmt repair</t>
  </si>
  <si>
    <t>1-extra sleep</t>
  </si>
  <si>
    <t>pure time waste like surfing, car search 0.3, bcb items -2 mynt,sleep-1</t>
  </si>
  <si>
    <t>kitchen , house work-, bathroom clean-0.5 ,hc-,water0.5 , weekend -2.5, veg help , khash 0.5, house clean 0.5</t>
  </si>
  <si>
    <t>misc- sys clean -1, helmt-1, tax analyse-4</t>
  </si>
  <si>
    <t>real estate -0.75,tpty plan</t>
  </si>
  <si>
    <t>movies   -peddi, op valentine, maa inti bgm, anaganan raju,blast</t>
  </si>
  <si>
    <t>4-tax,1-mov anaganaga raju,1.5-backpain sleep,2-tpty plan, blast movie</t>
  </si>
  <si>
    <t>hosp -back pain 7 ,rohit final enq 5.5, oasis hosp</t>
  </si>
  <si>
    <t>2.5-back pain,3.5-tax</t>
  </si>
  <si>
    <t>sheet, tax-2.5</t>
  </si>
  <si>
    <t>2-sleep due to back pain</t>
  </si>
  <si>
    <t>r-means react</t>
  </si>
  <si>
    <t>r-44, 45 till 27.5</t>
  </si>
  <si>
    <t>3.5-extra sleep don’t know y</t>
  </si>
  <si>
    <t xml:space="preserve">4.5-went to ITR SR nagar </t>
  </si>
  <si>
    <t>r-prac, 45</t>
  </si>
  <si>
    <t xml:space="preserve"> utilised ofc time for study )</t>
  </si>
  <si>
    <t>1-physio,1.5- santu fever</t>
  </si>
  <si>
    <t>2.5-sleep due to back pain</t>
  </si>
  <si>
    <t>santu fever-1.5</t>
  </si>
  <si>
    <t>misc- cat,shirdi train book</t>
  </si>
  <si>
    <t>9- santu fever -2 hosp -zoy,medcore</t>
  </si>
  <si>
    <t>1- calls with ataya in home</t>
  </si>
  <si>
    <t xml:space="preserve">1- tcs course </t>
  </si>
  <si>
    <t xml:space="preserve">2.5-weekend sleep ,1-linked in </t>
  </si>
  <si>
    <t>house related shopping- veg buy 0.5, millet shop buy,</t>
  </si>
  <si>
    <t>r-46,47</t>
  </si>
  <si>
    <t>r-48,prac</t>
  </si>
  <si>
    <t>1-temple</t>
  </si>
  <si>
    <t xml:space="preserve">r- prac </t>
  </si>
  <si>
    <t>4-sleep heavy back pain</t>
  </si>
  <si>
    <t>spr 19-25</t>
  </si>
  <si>
    <t>4.5-movie</t>
  </si>
  <si>
    <t>3.5- sleep,3-hosp-2 medcover ,1-search</t>
  </si>
  <si>
    <t>my hosp -backpain physio-5.5, med cover hosp-1aarthoblood-1</t>
  </si>
  <si>
    <t>r-49,50</t>
  </si>
  <si>
    <t>r-prac,spr -prac</t>
  </si>
  <si>
    <t>2.5- soll cals with veera,2.5- movie</t>
  </si>
  <si>
    <t>r-51</t>
  </si>
  <si>
    <t>r-52, spr ai-33-42</t>
  </si>
  <si>
    <t>2-sleep due to back pain, main syll spr ai</t>
  </si>
  <si>
    <t>1.75- calls with pun, mohan reg onsite</t>
  </si>
  <si>
    <t>0.75-extra ofc work</t>
  </si>
  <si>
    <t>r-53</t>
  </si>
  <si>
    <t>r-54</t>
  </si>
  <si>
    <t>aus search</t>
  </si>
  <si>
    <t>extra of work</t>
  </si>
  <si>
    <t>tcs course ,meeting</t>
  </si>
  <si>
    <t xml:space="preserve"> charan help 0.25,  hair cut -0.75</t>
  </si>
  <si>
    <t>1-sleep due to back pain,1-hosp</t>
  </si>
  <si>
    <t>santu pickup, drop to ofc</t>
  </si>
  <si>
    <t>r-55, r-56</t>
  </si>
  <si>
    <t>1.5- santu drop</t>
  </si>
  <si>
    <t>2-sleep as night I didn’t get sleep</t>
  </si>
  <si>
    <t>4-sleep as I woke up mid night</t>
  </si>
  <si>
    <t>temple -weekend-1, ttd tick -0.5</t>
  </si>
  <si>
    <t>r-57</t>
  </si>
  <si>
    <t>r-58</t>
  </si>
  <si>
    <t>3.5-BCB wasted morning</t>
  </si>
  <si>
    <t>bcb sleep -4</t>
  </si>
  <si>
    <t>r-59.5</t>
  </si>
  <si>
    <t>sleep due to pass wakeup even I ate at 6PM</t>
  </si>
  <si>
    <t>movies    -Double occ, nagabandham, sampra, the india story</t>
  </si>
  <si>
    <t>sleep due to pass wakeup,3.5 india story movie</t>
  </si>
  <si>
    <t>2-sleep , spr ai , sql interview q</t>
  </si>
  <si>
    <t>my khshsyams, yoga</t>
  </si>
  <si>
    <t>3-sleep due to pass wakeup,1-khashayam,yoga</t>
  </si>
  <si>
    <t>sql- 9-11</t>
  </si>
  <si>
    <t>3-financial cal ,australia sav calc</t>
  </si>
  <si>
    <t>r-react,o-oracle,s-spring</t>
  </si>
  <si>
    <t>target- ,monthly complete 15 hours of any syllabus</t>
  </si>
  <si>
    <t>charan exam I tried</t>
  </si>
  <si>
    <t>0.75- charan calls reg indigo,1- ch exam</t>
  </si>
  <si>
    <t>charan indigo help</t>
  </si>
  <si>
    <t>sql 8,31</t>
  </si>
  <si>
    <t>3.5- sleep ,1-shirdi</t>
  </si>
  <si>
    <t>santu drop to manikonda nik house ,5- charan exm help</t>
  </si>
  <si>
    <t>4-BCB sleep wasted,1.5- bank demat icici issue</t>
  </si>
  <si>
    <t xml:space="preserve">bank demat ac closure-1.5my job search , in linked in </t>
  </si>
  <si>
    <t>sql 11-14</t>
  </si>
  <si>
    <t>oracle interview qn, 0.5-santu drop</t>
  </si>
  <si>
    <t>spr 220-223</t>
  </si>
  <si>
    <t>3-ghmc dump yard issue</t>
  </si>
  <si>
    <t>dump yard issue</t>
  </si>
  <si>
    <t>3-sleep due to pass wakeup,dogs,1-swarop,</t>
  </si>
  <si>
    <t>r-62</t>
  </si>
  <si>
    <t>4-dump yard ppt prep,1.5- switch plug for sys,1-sailu, hem</t>
  </si>
  <si>
    <t>buy medicines</t>
  </si>
  <si>
    <t>Media (if u got bored , just listen a song / see sheets)</t>
  </si>
  <si>
    <t>timing 9AM-12PM  keep cell phone away don’t open youtube or any long calls more than 15 mins, if bored listen 1 audio song ,don’t open utube  9-12 only study  don’t even search other topics also</t>
  </si>
  <si>
    <t>2.5-sleep due to pass wakeup</t>
  </si>
  <si>
    <t>r-63,64</t>
  </si>
  <si>
    <t>ora-15</t>
  </si>
  <si>
    <t>fever -5</t>
  </si>
  <si>
    <t xml:space="preserve">full fever and cold </t>
  </si>
  <si>
    <t>train book to dwarak tir</t>
  </si>
  <si>
    <t>1-anz call,3-train book to dwaraka tiru</t>
  </si>
  <si>
    <t>3- parcel went to kphb</t>
  </si>
  <si>
    <t>spr 228-231</t>
  </si>
  <si>
    <t>2-roopa dress selc, 1- sailu calls</t>
  </si>
  <si>
    <t>react udemy</t>
  </si>
  <si>
    <t xml:space="preserve">read interview questions </t>
  </si>
  <si>
    <t>sai daughter fucntions</t>
  </si>
  <si>
    <t>sleep due to sai daughter fun travel</t>
  </si>
  <si>
    <t>bcb sleep -4,watching -3</t>
  </si>
  <si>
    <t>grafana -3</t>
  </si>
  <si>
    <t>job search in linked in</t>
  </si>
  <si>
    <t xml:space="preserve">read 1.5 pending </t>
  </si>
  <si>
    <t>0.75-job search,0.75- movie book youtube</t>
  </si>
  <si>
    <t>trained charan for self intro for air india</t>
  </si>
  <si>
    <t>2-calls with aswin park,4.75- calls reg charan air india</t>
  </si>
  <si>
    <t>preg book , chat gpt search for tablet</t>
  </si>
  <si>
    <t>2.5- chat gpt for tablet,2- sleep-night fall</t>
  </si>
  <si>
    <t>house related shopping- veg buy  millet shop buy, new switch-1.5 , online -0.5</t>
  </si>
  <si>
    <t>1- sai, puneeth</t>
  </si>
  <si>
    <t>1.5- BCB sleep, 1- shared interview exp, 4-interview prep</t>
  </si>
  <si>
    <t>read 1.5 in offic  time ,3-charan help</t>
  </si>
  <si>
    <t>pure time waste like surfing,  dogs kill-1</t>
  </si>
  <si>
    <t>movies    - viswanath sons , rakasa</t>
  </si>
  <si>
    <t>santu pickup, drop to ofc,bus stand-1 , nikila home-1.5, shirdi-1,lap forgot -0.75</t>
  </si>
  <si>
    <t>think for train book</t>
  </si>
  <si>
    <t>1-sleep due to tablets,2- train book, interview prep</t>
  </si>
  <si>
    <t>kitchen -2 , house work-, bathroom clean- ,water-1.5 , weekend-4, veg help , khash -0.5 , house clean-1 , dmart-2</t>
  </si>
  <si>
    <t>personal- tree plant, fnds meet-1.25,temp-0.5</t>
  </si>
  <si>
    <t>1.5-sleep due to tabl,1.5- financial</t>
  </si>
  <si>
    <t>sai gift parcel to kphb -3, roopa dress selection, barasala ogl-8,gayi git -0.5</t>
  </si>
  <si>
    <t>kitchen -2.25, house work-, bathroom clean- ,water 0.25 , weekend 1.5-, veg help , khash -2.25, house clean -1</t>
  </si>
  <si>
    <t>personal shoping in galleria mall</t>
  </si>
  <si>
    <t>aws 194-196</t>
  </si>
  <si>
    <t>sheet, tax-3 ,extra news -0.5, financial -3.25</t>
  </si>
  <si>
    <t>sheet-1, tax-,extra news , financial -3.5</t>
  </si>
  <si>
    <t>bcb sleep</t>
  </si>
  <si>
    <t xml:space="preserve">pure time waste like surfing,   </t>
  </si>
  <si>
    <t>movies    -</t>
  </si>
  <si>
    <t xml:space="preserve">preg book ,  </t>
  </si>
  <si>
    <t>house related shopping- veg buy  millet shop buy,</t>
  </si>
  <si>
    <t>kitchen  , house work-, bathroom clean- ,water-, weekend-, veg help , khash -, house clean- , dmart-</t>
  </si>
  <si>
    <t xml:space="preserve">financial </t>
  </si>
  <si>
    <t>personal</t>
  </si>
  <si>
    <t>aws interview prep</t>
  </si>
  <si>
    <t xml:space="preserve">temple - </t>
  </si>
</sst>
</file>

<file path=xl/styles.xml><?xml version="1.0" encoding="utf-8"?>
<styleSheet xmlns="http://schemas.openxmlformats.org/spreadsheetml/2006/main" xmlns:mc="http://schemas.openxmlformats.org/markup-compatibility/2006" xmlns:x14ac="http://schemas.microsoft.com/office/spreadsheetml/2009/9/ac" mc:Ignorable="x14ac">
  <fonts count="40" x14ac:knownFonts="1">
    <font>
      <sz val="11"/>
      <color theme="1"/>
      <name val="Calibri"/>
      <family val="2"/>
      <scheme val="minor"/>
    </font>
    <font>
      <sz val="11"/>
      <color rgb="FF9C6500"/>
      <name val="Calibri"/>
      <family val="2"/>
      <scheme val="minor"/>
    </font>
    <font>
      <sz val="11"/>
      <color rgb="FF9C0006"/>
      <name val="Calibri"/>
      <family val="2"/>
      <scheme val="minor"/>
    </font>
    <font>
      <sz val="11"/>
      <color rgb="FF006100"/>
      <name val="Calibri"/>
      <family val="2"/>
      <scheme val="minor"/>
    </font>
    <font>
      <sz val="11"/>
      <color theme="1"/>
      <name val="Calibri"/>
      <family val="2"/>
      <scheme val="minor"/>
    </font>
    <font>
      <sz val="11"/>
      <color rgb="FF3F3F76"/>
      <name val="Calibri"/>
      <family val="2"/>
      <scheme val="minor"/>
    </font>
    <font>
      <sz val="11"/>
      <color theme="0"/>
      <name val="Calibri"/>
      <family val="2"/>
      <scheme val="minor"/>
    </font>
    <font>
      <sz val="11"/>
      <color theme="1"/>
      <name val="Segoe UI"/>
      <family val="2"/>
    </font>
    <font>
      <b/>
      <sz val="11"/>
      <color theme="4"/>
      <name val="Segoe UI"/>
      <family val="2"/>
    </font>
    <font>
      <sz val="16"/>
      <color rgb="FF9C6500"/>
      <name val="Segoe UI"/>
      <family val="2"/>
    </font>
    <font>
      <sz val="12"/>
      <color theme="1"/>
      <name val="Candara"/>
      <family val="2"/>
    </font>
    <font>
      <sz val="12"/>
      <color theme="0"/>
      <name val="Candara"/>
      <family val="2"/>
    </font>
    <font>
      <sz val="12"/>
      <color rgb="FF9C0006"/>
      <name val="Candara"/>
      <family val="2"/>
    </font>
    <font>
      <u/>
      <sz val="11"/>
      <color theme="10"/>
      <name val="Calibri"/>
      <family val="2"/>
      <scheme val="minor"/>
    </font>
    <font>
      <sz val="11"/>
      <color theme="1"/>
      <name val="Segoe UI Emoji"/>
      <family val="2"/>
    </font>
    <font>
      <b/>
      <sz val="11"/>
      <color theme="9"/>
      <name val="Segoe UI"/>
      <family val="2"/>
    </font>
    <font>
      <sz val="11"/>
      <color theme="0"/>
      <name val="Comic Sans MS"/>
      <family val="4"/>
    </font>
    <font>
      <sz val="11"/>
      <color rgb="FFD60093"/>
      <name val="Segoe UI Emoji"/>
      <family val="2"/>
    </font>
    <font>
      <sz val="14"/>
      <color theme="0"/>
      <name val="Berlin Sans FB"/>
      <family val="2"/>
    </font>
    <font>
      <b/>
      <sz val="11"/>
      <color rgb="FFFF0066"/>
      <name val="Segoe UI"/>
      <family val="2"/>
    </font>
    <font>
      <sz val="12"/>
      <color rgb="FF9C6500"/>
      <name val="Segoe UI"/>
      <family val="2"/>
    </font>
    <font>
      <sz val="12"/>
      <color theme="0"/>
      <name val="Calibri"/>
      <family val="2"/>
      <scheme val="minor"/>
    </font>
    <font>
      <sz val="16"/>
      <color theme="0"/>
      <name val="Century Gothic"/>
      <family val="2"/>
    </font>
    <font>
      <sz val="11"/>
      <color theme="1"/>
      <name val="Malgun Gothic"/>
      <family val="2"/>
    </font>
    <font>
      <sz val="13"/>
      <color theme="0"/>
      <name val="Calibri"/>
      <family val="2"/>
      <scheme val="minor"/>
    </font>
    <font>
      <sz val="12"/>
      <color theme="1"/>
      <name val="Calibri"/>
      <family val="2"/>
      <scheme val="minor"/>
    </font>
    <font>
      <sz val="15"/>
      <color theme="0"/>
      <name val="Calibri"/>
      <family val="2"/>
      <scheme val="minor"/>
    </font>
    <font>
      <sz val="11"/>
      <color theme="1"/>
      <name val="Maiandra GD"/>
      <family val="2"/>
    </font>
    <font>
      <sz val="12"/>
      <color theme="1"/>
      <name val="Calibri"/>
      <scheme val="minor"/>
    </font>
    <font>
      <b/>
      <sz val="11"/>
      <color theme="1"/>
      <name val="Calibri"/>
      <family val="2"/>
      <scheme val="minor"/>
    </font>
    <font>
      <b/>
      <sz val="11"/>
      <color theme="1"/>
      <name val="Segoe UI"/>
      <family val="2"/>
    </font>
    <font>
      <sz val="11"/>
      <color theme="0"/>
      <name val="Bahnschrift SemiBold"/>
      <family val="2"/>
    </font>
    <font>
      <b/>
      <sz val="12"/>
      <color theme="0"/>
      <name val="Calibri"/>
      <family val="2"/>
      <scheme val="minor"/>
    </font>
    <font>
      <sz val="11"/>
      <color theme="1"/>
      <name val="OCR A Extended"/>
      <family val="3"/>
    </font>
    <font>
      <sz val="10"/>
      <color theme="1"/>
      <name val="Segoe UI"/>
      <family val="2"/>
    </font>
    <font>
      <b/>
      <u/>
      <sz val="10"/>
      <color theme="1"/>
      <name val="Segoe UI"/>
      <family val="2"/>
    </font>
    <font>
      <sz val="11"/>
      <color theme="2"/>
      <name val="Segoe UI"/>
      <family val="2"/>
    </font>
    <font>
      <sz val="11"/>
      <color theme="8" tint="0.79998168889431442"/>
      <name val="Segoe UI"/>
      <family val="2"/>
    </font>
    <font>
      <b/>
      <sz val="11"/>
      <color rgb="FF9C6500"/>
      <name val="Segoe UI"/>
      <family val="2"/>
    </font>
    <font>
      <b/>
      <sz val="11"/>
      <color theme="5"/>
      <name val="Segoe UI"/>
      <family val="2"/>
    </font>
  </fonts>
  <fills count="30">
    <fill>
      <patternFill patternType="none"/>
    </fill>
    <fill>
      <patternFill patternType="gray125"/>
    </fill>
    <fill>
      <patternFill patternType="solid">
        <fgColor rgb="FFFFEB9C"/>
      </patternFill>
    </fill>
    <fill>
      <patternFill patternType="solid">
        <fgColor rgb="FFFFCC99"/>
      </patternFill>
    </fill>
    <fill>
      <patternFill patternType="solid">
        <fgColor rgb="FFFFC7CE"/>
      </patternFill>
    </fill>
    <fill>
      <patternFill patternType="solid">
        <fgColor rgb="FFC6EFCE"/>
      </patternFill>
    </fill>
    <fill>
      <patternFill patternType="solid">
        <fgColor theme="4" tint="0.59999389629810485"/>
        <bgColor indexed="65"/>
      </patternFill>
    </fill>
    <fill>
      <patternFill patternType="solid">
        <fgColor theme="7"/>
      </patternFill>
    </fill>
    <fill>
      <patternFill patternType="solid">
        <fgColor theme="8" tint="0.59999389629810485"/>
        <bgColor indexed="65"/>
      </patternFill>
    </fill>
    <fill>
      <patternFill patternType="solid">
        <fgColor theme="9" tint="0.59999389629810485"/>
        <bgColor indexed="65"/>
      </patternFill>
    </fill>
    <fill>
      <patternFill patternType="solid">
        <fgColor theme="6"/>
      </patternFill>
    </fill>
    <fill>
      <patternFill patternType="solid">
        <fgColor theme="6" tint="0.59999389629810485"/>
        <bgColor indexed="65"/>
      </patternFill>
    </fill>
    <fill>
      <patternFill patternType="solid">
        <fgColor theme="5"/>
      </patternFill>
    </fill>
    <fill>
      <patternFill patternType="solid">
        <fgColor theme="8"/>
      </patternFill>
    </fill>
    <fill>
      <patternFill patternType="solid">
        <fgColor theme="9" tint="0.39997558519241921"/>
        <bgColor indexed="65"/>
      </patternFill>
    </fill>
    <fill>
      <patternFill patternType="solid">
        <fgColor theme="7" tint="0.59999389629810485"/>
        <bgColor indexed="65"/>
      </patternFill>
    </fill>
    <fill>
      <patternFill patternType="solid">
        <fgColor rgb="FFFFFFCC"/>
      </patternFill>
    </fill>
    <fill>
      <patternFill patternType="solid">
        <fgColor theme="0"/>
        <bgColor indexed="64"/>
      </patternFill>
    </fill>
    <fill>
      <patternFill patternType="solid">
        <fgColor theme="8" tint="0.39997558519241921"/>
        <bgColor indexed="65"/>
      </patternFill>
    </fill>
    <fill>
      <gradientFill type="path">
        <stop position="0">
          <color theme="0"/>
        </stop>
        <stop position="1">
          <color rgb="FFCCCC00"/>
        </stop>
      </gradientFill>
    </fill>
    <fill>
      <patternFill patternType="solid">
        <fgColor theme="9"/>
      </patternFill>
    </fill>
    <fill>
      <gradientFill degree="45">
        <stop position="0">
          <color theme="0"/>
        </stop>
        <stop position="0.5">
          <color rgb="FFFFCC00"/>
        </stop>
        <stop position="1">
          <color theme="0"/>
        </stop>
      </gradientFill>
    </fill>
    <fill>
      <gradientFill>
        <stop position="0">
          <color theme="0"/>
        </stop>
        <stop position="0.5">
          <color rgb="FF00B0F0"/>
        </stop>
        <stop position="1">
          <color theme="0"/>
        </stop>
      </gradientFill>
    </fill>
    <fill>
      <gradientFill>
        <stop position="0">
          <color rgb="FFFFCC00"/>
        </stop>
        <stop position="0.5">
          <color rgb="FFFF9966"/>
        </stop>
        <stop position="1">
          <color rgb="FFFFCC00"/>
        </stop>
      </gradientFill>
    </fill>
    <fill>
      <gradientFill degree="135">
        <stop position="0">
          <color theme="0"/>
        </stop>
        <stop position="0.5">
          <color rgb="FF99FFCC"/>
        </stop>
        <stop position="1">
          <color theme="0"/>
        </stop>
      </gradientFill>
    </fill>
    <fill>
      <gradientFill degree="225">
        <stop position="0">
          <color theme="1"/>
        </stop>
        <stop position="1">
          <color rgb="FF990099"/>
        </stop>
      </gradientFill>
    </fill>
    <fill>
      <gradientFill degree="45">
        <stop position="0">
          <color theme="1" tint="0.34900967436750391"/>
        </stop>
        <stop position="0.5">
          <color rgb="FFFF9900"/>
        </stop>
        <stop position="1">
          <color theme="1" tint="0.34900967436750391"/>
        </stop>
      </gradientFill>
    </fill>
    <fill>
      <gradientFill degree="45">
        <stop position="0">
          <color theme="0"/>
        </stop>
        <stop position="1">
          <color theme="8" tint="-0.25098422193060094"/>
        </stop>
      </gradientFill>
    </fill>
    <fill>
      <patternFill patternType="solid">
        <fgColor rgb="FFCC6600"/>
        <bgColor indexed="64"/>
      </patternFill>
    </fill>
    <fill>
      <gradientFill degree="45">
        <stop position="0">
          <color theme="8" tint="0.59999389629810485"/>
        </stop>
        <stop position="0.5">
          <color rgb="FFFFFFCC"/>
        </stop>
        <stop position="1">
          <color theme="8" tint="0.59999389629810485"/>
        </stop>
      </gradientFill>
    </fill>
  </fills>
  <borders count="41">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B2B2B2"/>
      </left>
      <right/>
      <top style="thin">
        <color rgb="FFB2B2B2"/>
      </top>
      <bottom style="thin">
        <color rgb="FFB2B2B2"/>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dotted">
        <color theme="7" tint="-0.249977111117893"/>
      </left>
      <right style="dotted">
        <color theme="7" tint="-0.249977111117893"/>
      </right>
      <top style="thin">
        <color indexed="64"/>
      </top>
      <bottom style="thin">
        <color indexed="64"/>
      </bottom>
      <diagonal/>
    </border>
    <border>
      <left style="dotted">
        <color theme="7" tint="-0.249977111117893"/>
      </left>
      <right style="thin">
        <color indexed="64"/>
      </right>
      <top style="thin">
        <color indexed="64"/>
      </top>
      <bottom style="dotted">
        <color theme="7" tint="-0.249977111117893"/>
      </bottom>
      <diagonal/>
    </border>
    <border>
      <left/>
      <right/>
      <top style="dotted">
        <color theme="7" tint="-0.249977111117893"/>
      </top>
      <bottom style="thin">
        <color indexed="64"/>
      </bottom>
      <diagonal/>
    </border>
    <border>
      <left/>
      <right/>
      <top style="thin">
        <color indexed="64"/>
      </top>
      <bottom style="dotted">
        <color theme="7" tint="-0.249977111117893"/>
      </bottom>
      <diagonal/>
    </border>
    <border>
      <left style="thin">
        <color indexed="64"/>
      </left>
      <right/>
      <top style="thin">
        <color indexed="64"/>
      </top>
      <bottom style="dotted">
        <color theme="7" tint="-0.249977111117893"/>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right style="thin">
        <color indexed="64"/>
      </right>
      <top/>
      <bottom/>
      <diagonal/>
    </border>
    <border>
      <left style="thin">
        <color indexed="64"/>
      </left>
      <right style="thin">
        <color indexed="64"/>
      </right>
      <top/>
      <bottom/>
      <diagonal/>
    </border>
    <border>
      <left/>
      <right/>
      <top style="thin">
        <color theme="4"/>
      </top>
      <bottom style="double">
        <color theme="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thin">
        <color theme="9" tint="-0.249977111117893"/>
      </right>
      <top style="thin">
        <color theme="9" tint="-0.249977111117893"/>
      </top>
      <bottom style="thin">
        <color indexed="64"/>
      </bottom>
      <diagonal/>
    </border>
    <border>
      <left style="thin">
        <color theme="9" tint="-0.249977111117893"/>
      </left>
      <right style="thin">
        <color theme="9" tint="-0.249977111117893"/>
      </right>
      <top style="thin">
        <color indexed="64"/>
      </top>
      <bottom style="thin">
        <color indexed="64"/>
      </bottom>
      <diagonal/>
    </border>
    <border>
      <left style="thin">
        <color theme="9" tint="-0.249977111117893"/>
      </left>
      <right style="thin">
        <color theme="9" tint="-0.249977111117893"/>
      </right>
      <top style="thin">
        <color indexed="64"/>
      </top>
      <bottom style="thin">
        <color theme="9" tint="-0.249977111117893"/>
      </bottom>
      <diagonal/>
    </border>
    <border>
      <left style="thin">
        <color theme="9" tint="-0.249977111117893"/>
      </left>
      <right style="thin">
        <color theme="9" tint="-0.249977111117893"/>
      </right>
      <top/>
      <bottom style="thin">
        <color indexed="64"/>
      </bottom>
      <diagonal/>
    </border>
    <border>
      <left/>
      <right style="thin">
        <color theme="9" tint="-0.249977111117893"/>
      </right>
      <top/>
      <bottom/>
      <diagonal/>
    </border>
    <border>
      <left/>
      <right/>
      <top style="thin">
        <color theme="9" tint="-0.249977111117893"/>
      </top>
      <bottom/>
      <diagonal/>
    </border>
    <border>
      <left style="thin">
        <color indexed="64"/>
      </left>
      <right style="thin">
        <color indexed="64"/>
      </right>
      <top/>
      <bottom style="thin">
        <color indexed="64"/>
      </bottom>
      <diagonal/>
    </border>
    <border>
      <left style="thin">
        <color theme="9" tint="-0.249977111117893"/>
      </left>
      <right style="thin">
        <color theme="9" tint="-0.249977111117893"/>
      </right>
      <top style="thin">
        <color indexed="64"/>
      </top>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diagonal/>
    </border>
  </borders>
  <cellStyleXfs count="29">
    <xf numFmtId="0" fontId="0" fillId="0" borderId="0"/>
    <xf numFmtId="0" fontId="1" fillId="2" borderId="0" applyNumberFormat="0" applyBorder="0" applyAlignment="0" applyProtection="0"/>
    <xf numFmtId="0" fontId="2" fillId="4" borderId="0" applyNumberFormat="0" applyBorder="0" applyAlignment="0" applyProtection="0"/>
    <xf numFmtId="0" fontId="3" fillId="5" borderId="0" applyNumberFormat="0" applyBorder="0" applyAlignment="0" applyProtection="0"/>
    <xf numFmtId="0" fontId="5" fillId="3" borderId="1" applyNumberFormat="0" applyAlignment="0" applyProtection="0"/>
    <xf numFmtId="0" fontId="4" fillId="6" borderId="0" applyNumberFormat="0" applyBorder="0" applyAlignment="0" applyProtection="0"/>
    <xf numFmtId="0" fontId="6"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6" fillId="10" borderId="0" applyNumberFormat="0" applyBorder="0" applyAlignment="0" applyProtection="0"/>
    <xf numFmtId="0" fontId="13" fillId="0" borderId="0" applyNumberFormat="0" applyFill="0" applyBorder="0" applyAlignment="0" applyProtection="0"/>
    <xf numFmtId="0" fontId="4"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4" fillId="15" borderId="0" applyNumberFormat="0" applyBorder="0" applyAlignment="0" applyProtection="0"/>
    <xf numFmtId="0" fontId="4" fillId="16" borderId="7" applyNumberFormat="0" applyFont="0" applyAlignment="0" applyProtection="0"/>
    <xf numFmtId="0" fontId="6" fillId="18" borderId="0" applyNumberFormat="0" applyBorder="0" applyAlignment="0" applyProtection="0"/>
    <xf numFmtId="0" fontId="29" fillId="0" borderId="29" applyNumberFormat="0" applyFill="0" applyAlignment="0" applyProtection="0"/>
    <xf numFmtId="0" fontId="4" fillId="19" borderId="3" applyFont="0" applyBorder="0" applyAlignment="0">
      <alignment horizontal="center"/>
    </xf>
    <xf numFmtId="0" fontId="6" fillId="20" borderId="0" applyNumberFormat="0" applyBorder="0" applyAlignment="0" applyProtection="0"/>
    <xf numFmtId="0" fontId="7" fillId="21" borderId="0">
      <alignment horizontal="center" vertical="center" wrapText="1"/>
    </xf>
    <xf numFmtId="0" fontId="7" fillId="22" borderId="0">
      <alignment horizontal="center" vertical="center" wrapText="1"/>
    </xf>
    <xf numFmtId="0" fontId="7" fillId="23" borderId="0" applyFont="0" applyAlignment="0">
      <alignment horizontal="center" vertical="center" wrapText="1"/>
    </xf>
    <xf numFmtId="0" fontId="7" fillId="24" borderId="0">
      <alignment horizontal="center" vertical="center" wrapText="1"/>
    </xf>
    <xf numFmtId="0" fontId="7" fillId="25" borderId="0">
      <alignment horizontal="center" vertical="center" wrapText="1"/>
    </xf>
    <xf numFmtId="0" fontId="7" fillId="26" borderId="0">
      <alignment horizontal="center" vertical="center" wrapText="1"/>
    </xf>
    <xf numFmtId="0" fontId="7" fillId="27" borderId="0">
      <alignment horizontal="center" vertical="center" wrapText="1"/>
    </xf>
    <xf numFmtId="0" fontId="4" fillId="29" borderId="0"/>
  </cellStyleXfs>
  <cellXfs count="268">
    <xf numFmtId="0" fontId="0" fillId="0" borderId="0" xfId="0"/>
    <xf numFmtId="0" fontId="0" fillId="0" borderId="0" xfId="0" applyAlignment="1">
      <alignment wrapText="1"/>
    </xf>
    <xf numFmtId="0" fontId="0" fillId="0" borderId="0" xfId="0" applyAlignment="1">
      <alignment horizontal="center"/>
    </xf>
    <xf numFmtId="0" fontId="0" fillId="0" borderId="0" xfId="0"/>
    <xf numFmtId="0" fontId="0" fillId="0" borderId="0" xfId="0" applyFill="1" applyBorder="1" applyAlignment="1">
      <alignment horizontal="center"/>
    </xf>
    <xf numFmtId="0" fontId="7" fillId="0" borderId="0" xfId="0" applyFont="1" applyAlignment="1">
      <alignment wrapText="1"/>
    </xf>
    <xf numFmtId="0" fontId="9" fillId="2" borderId="7" xfId="1" applyFont="1" applyBorder="1" applyAlignment="1">
      <alignment horizontal="center" vertical="top" wrapText="1"/>
    </xf>
    <xf numFmtId="0" fontId="7" fillId="0" borderId="0" xfId="0" applyFont="1"/>
    <xf numFmtId="16" fontId="7" fillId="0" borderId="0" xfId="0" applyNumberFormat="1" applyFont="1"/>
    <xf numFmtId="0" fontId="10" fillId="0" borderId="2" xfId="0" applyFont="1" applyFill="1" applyBorder="1" applyAlignment="1">
      <alignment horizontal="center"/>
    </xf>
    <xf numFmtId="0" fontId="0" fillId="0" borderId="0" xfId="0" applyAlignment="1">
      <alignment horizontal="right"/>
    </xf>
    <xf numFmtId="0" fontId="0" fillId="0" borderId="0" xfId="0"/>
    <xf numFmtId="0" fontId="7" fillId="0" borderId="0" xfId="0" applyFont="1" applyFill="1" applyBorder="1"/>
    <xf numFmtId="49" fontId="0" fillId="0" borderId="0" xfId="0" applyNumberFormat="1"/>
    <xf numFmtId="0" fontId="15" fillId="0" borderId="0" xfId="0" applyFont="1"/>
    <xf numFmtId="0" fontId="0" fillId="0" borderId="0" xfId="0"/>
    <xf numFmtId="0" fontId="16" fillId="10" borderId="0" xfId="9" applyFont="1"/>
    <xf numFmtId="0" fontId="10" fillId="0" borderId="0" xfId="0" applyFont="1" applyBorder="1" applyAlignment="1">
      <alignment horizontal="center"/>
    </xf>
    <xf numFmtId="0" fontId="10" fillId="8" borderId="2" xfId="7" applyFont="1" applyBorder="1" applyAlignment="1">
      <alignment horizontal="center" vertical="center"/>
    </xf>
    <xf numFmtId="0" fontId="10" fillId="0" borderId="0" xfId="0" applyFont="1" applyAlignment="1">
      <alignment horizontal="center"/>
    </xf>
    <xf numFmtId="0" fontId="12" fillId="0" borderId="2" xfId="2" applyFont="1" applyFill="1" applyBorder="1" applyAlignment="1">
      <alignment horizontal="center" vertical="center"/>
    </xf>
    <xf numFmtId="0" fontId="11" fillId="0" borderId="2" xfId="6" applyFont="1" applyFill="1" applyBorder="1" applyAlignment="1">
      <alignment horizontal="center"/>
    </xf>
    <xf numFmtId="0" fontId="6" fillId="12" borderId="2" xfId="12" applyBorder="1"/>
    <xf numFmtId="0" fontId="8" fillId="0" borderId="0" xfId="0" applyFont="1" applyAlignment="1">
      <alignment horizontal="center" vertical="center" wrapText="1"/>
    </xf>
    <xf numFmtId="0" fontId="17" fillId="0" borderId="0" xfId="0" applyFont="1"/>
    <xf numFmtId="0" fontId="0" fillId="0" borderId="0" xfId="0" applyAlignment="1"/>
    <xf numFmtId="0" fontId="20" fillId="2" borderId="13" xfId="1" applyFont="1" applyBorder="1" applyAlignment="1">
      <alignment horizontal="center" vertical="top" wrapText="1"/>
    </xf>
    <xf numFmtId="0" fontId="22" fillId="13" borderId="2" xfId="13" applyFont="1" applyBorder="1" applyAlignment="1">
      <alignment horizontal="center" wrapText="1"/>
    </xf>
    <xf numFmtId="0" fontId="22" fillId="13" borderId="2" xfId="13" applyFont="1" applyBorder="1"/>
    <xf numFmtId="0" fontId="23" fillId="9" borderId="2" xfId="8" applyFont="1" applyBorder="1" applyAlignment="1">
      <alignment horizontal="center" wrapText="1"/>
    </xf>
    <xf numFmtId="49" fontId="0" fillId="0" borderId="2" xfId="0" applyNumberFormat="1" applyBorder="1"/>
    <xf numFmtId="0" fontId="0" fillId="0" borderId="2" xfId="0" applyBorder="1"/>
    <xf numFmtId="0" fontId="21" fillId="10" borderId="2" xfId="9" applyFont="1" applyBorder="1"/>
    <xf numFmtId="0" fontId="6" fillId="13" borderId="2" xfId="13" applyBorder="1"/>
    <xf numFmtId="0" fontId="7" fillId="0" borderId="0" xfId="0" applyFont="1" applyAlignment="1">
      <alignment horizontal="center" vertical="center" wrapText="1"/>
    </xf>
    <xf numFmtId="0" fontId="4" fillId="6" borderId="2" xfId="5" applyBorder="1" applyAlignment="1">
      <alignment horizontal="center"/>
    </xf>
    <xf numFmtId="0" fontId="0" fillId="0" borderId="0" xfId="0" applyFill="1" applyBorder="1"/>
    <xf numFmtId="0" fontId="27" fillId="0" borderId="0" xfId="0" applyFont="1" applyFill="1" applyBorder="1"/>
    <xf numFmtId="16" fontId="7" fillId="0" borderId="0" xfId="0" applyNumberFormat="1" applyFont="1" applyAlignment="1">
      <alignment horizontal="center"/>
    </xf>
    <xf numFmtId="0" fontId="6" fillId="13" borderId="10" xfId="13" applyBorder="1"/>
    <xf numFmtId="16" fontId="21" fillId="10" borderId="2" xfId="9" applyNumberFormat="1" applyFont="1" applyBorder="1"/>
    <xf numFmtId="0" fontId="0" fillId="0" borderId="0" xfId="0"/>
    <xf numFmtId="0" fontId="7" fillId="0" borderId="3" xfId="0" applyFont="1" applyBorder="1"/>
    <xf numFmtId="0" fontId="19" fillId="0" borderId="17" xfId="0" applyFont="1" applyBorder="1"/>
    <xf numFmtId="0" fontId="19" fillId="0" borderId="18" xfId="0" applyFont="1" applyBorder="1"/>
    <xf numFmtId="0" fontId="15" fillId="0" borderId="4" xfId="0" applyFont="1" applyBorder="1"/>
    <xf numFmtId="0" fontId="15" fillId="0" borderId="6" xfId="0" applyFont="1" applyBorder="1"/>
    <xf numFmtId="0" fontId="15" fillId="0" borderId="19" xfId="0" applyFont="1" applyBorder="1"/>
    <xf numFmtId="0" fontId="19" fillId="0" borderId="4" xfId="0" applyFont="1" applyBorder="1"/>
    <xf numFmtId="0" fontId="15" fillId="0" borderId="20" xfId="0" applyFont="1" applyBorder="1"/>
    <xf numFmtId="0" fontId="15" fillId="0" borderId="8" xfId="0" applyFont="1" applyBorder="1"/>
    <xf numFmtId="0" fontId="15" fillId="0" borderId="21" xfId="0" applyFont="1" applyBorder="1"/>
    <xf numFmtId="0" fontId="15" fillId="0" borderId="22" xfId="0" applyFont="1" applyBorder="1"/>
    <xf numFmtId="0" fontId="17" fillId="0" borderId="0" xfId="0" applyFont="1" applyBorder="1"/>
    <xf numFmtId="0" fontId="17" fillId="0" borderId="23" xfId="0" applyFont="1" applyBorder="1"/>
    <xf numFmtId="0" fontId="15" fillId="0" borderId="24" xfId="0" applyFont="1" applyBorder="1"/>
    <xf numFmtId="0" fontId="17" fillId="0" borderId="25" xfId="0" applyFont="1" applyBorder="1"/>
    <xf numFmtId="0" fontId="17" fillId="0" borderId="26" xfId="0" applyFont="1" applyBorder="1"/>
    <xf numFmtId="0" fontId="15" fillId="0" borderId="3" xfId="0" applyFont="1" applyBorder="1"/>
    <xf numFmtId="0" fontId="15" fillId="0" borderId="11" xfId="0" applyFont="1" applyBorder="1"/>
    <xf numFmtId="0" fontId="15" fillId="0" borderId="0" xfId="0" applyFont="1" applyBorder="1"/>
    <xf numFmtId="0" fontId="17" fillId="0" borderId="14" xfId="0" applyFont="1" applyBorder="1"/>
    <xf numFmtId="0" fontId="15" fillId="0" borderId="10" xfId="0" applyFont="1" applyBorder="1"/>
    <xf numFmtId="0" fontId="17" fillId="0" borderId="27" xfId="0" applyFont="1" applyBorder="1"/>
    <xf numFmtId="0" fontId="15" fillId="0" borderId="15" xfId="0" applyFont="1" applyBorder="1"/>
    <xf numFmtId="0" fontId="17" fillId="0" borderId="8" xfId="0" applyFont="1" applyBorder="1"/>
    <xf numFmtId="0" fontId="17" fillId="0" borderId="16" xfId="0" applyFont="1" applyBorder="1"/>
    <xf numFmtId="0" fontId="0" fillId="0" borderId="6" xfId="0" applyBorder="1"/>
    <xf numFmtId="0" fontId="0" fillId="0" borderId="27" xfId="0" applyFill="1" applyBorder="1"/>
    <xf numFmtId="0" fontId="0" fillId="0" borderId="10" xfId="0" applyBorder="1"/>
    <xf numFmtId="0" fontId="28" fillId="16" borderId="7" xfId="16" applyFont="1" applyAlignment="1">
      <alignment horizontal="center"/>
    </xf>
    <xf numFmtId="0" fontId="28" fillId="16" borderId="7" xfId="16" applyNumberFormat="1" applyFont="1" applyAlignment="1">
      <alignment horizontal="center"/>
    </xf>
    <xf numFmtId="0" fontId="6" fillId="18" borderId="2" xfId="17" applyBorder="1" applyAlignment="1">
      <alignment horizontal="center" vertical="center"/>
    </xf>
    <xf numFmtId="0" fontId="1" fillId="2" borderId="2" xfId="1" applyBorder="1" applyAlignment="1">
      <alignment horizontal="center" vertical="center"/>
    </xf>
    <xf numFmtId="0" fontId="1" fillId="2" borderId="28" xfId="1" applyBorder="1" applyAlignment="1">
      <alignment horizontal="center" vertical="center"/>
    </xf>
    <xf numFmtId="0" fontId="6" fillId="10" borderId="0" xfId="9" applyBorder="1"/>
    <xf numFmtId="0" fontId="2" fillId="4" borderId="3" xfId="2" applyBorder="1"/>
    <xf numFmtId="0" fontId="2" fillId="4" borderId="0" xfId="2"/>
    <xf numFmtId="0" fontId="0" fillId="0" borderId="0" xfId="0"/>
    <xf numFmtId="0" fontId="29" fillId="9" borderId="29" xfId="18" applyFill="1" applyAlignment="1">
      <alignment vertical="top" wrapText="1"/>
    </xf>
    <xf numFmtId="0" fontId="6" fillId="12" borderId="2" xfId="12" applyBorder="1" applyAlignment="1">
      <alignment horizontal="center" wrapText="1"/>
    </xf>
    <xf numFmtId="0" fontId="4" fillId="15" borderId="0" xfId="15"/>
    <xf numFmtId="0" fontId="17" fillId="0" borderId="27" xfId="0" applyFont="1" applyFill="1" applyBorder="1"/>
    <xf numFmtId="0" fontId="7" fillId="0" borderId="10" xfId="0" applyFont="1" applyFill="1" applyBorder="1"/>
    <xf numFmtId="0" fontId="27" fillId="0" borderId="0" xfId="0" applyFont="1" applyFill="1" applyBorder="1" applyAlignment="1">
      <alignment wrapText="1"/>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7" fillId="0" borderId="0" xfId="0" applyFont="1"/>
    <xf numFmtId="0" fontId="4" fillId="19" borderId="2" xfId="19" applyBorder="1" applyAlignment="1">
      <alignment horizontal="center"/>
    </xf>
    <xf numFmtId="0" fontId="0" fillId="19" borderId="12" xfId="19" applyFont="1" applyBorder="1" applyAlignment="1">
      <alignment horizontal="center" wrapText="1"/>
    </xf>
    <xf numFmtId="0" fontId="4" fillId="19" borderId="12" xfId="19" applyBorder="1" applyAlignment="1">
      <alignment horizontal="center"/>
    </xf>
    <xf numFmtId="0" fontId="0" fillId="19" borderId="2" xfId="19" applyFont="1" applyBorder="1" applyAlignment="1">
      <alignment horizontal="center"/>
    </xf>
    <xf numFmtId="0" fontId="28" fillId="19" borderId="2" xfId="19" applyFont="1" applyBorder="1" applyAlignment="1">
      <alignment horizontal="center"/>
    </xf>
    <xf numFmtId="0" fontId="0" fillId="19" borderId="3" xfId="19" applyFont="1" applyBorder="1" applyAlignment="1">
      <alignment horizontal="center"/>
    </xf>
    <xf numFmtId="0" fontId="0" fillId="19" borderId="10" xfId="19" applyFont="1" applyBorder="1" applyAlignment="1">
      <alignment horizontal="center" vertical="center"/>
    </xf>
    <xf numFmtId="0" fontId="0" fillId="19" borderId="11" xfId="19" applyFont="1" applyBorder="1" applyAlignment="1">
      <alignment horizontal="center"/>
    </xf>
    <xf numFmtId="0" fontId="0" fillId="19" borderId="12" xfId="19" applyFont="1" applyBorder="1" applyAlignment="1">
      <alignment horizontal="center"/>
    </xf>
    <xf numFmtId="0" fontId="30" fillId="19" borderId="0" xfId="19" applyFont="1" applyBorder="1" applyAlignment="1">
      <alignment horizontal="center" vertical="center" wrapText="1"/>
    </xf>
    <xf numFmtId="0" fontId="1" fillId="2" borderId="9" xfId="1" applyBorder="1" applyAlignment="1">
      <alignment horizontal="center"/>
    </xf>
    <xf numFmtId="0" fontId="7" fillId="19" borderId="0" xfId="19" applyFont="1" applyBorder="1" applyAlignment="1">
      <alignment horizontal="center" vertical="center" wrapText="1"/>
    </xf>
    <xf numFmtId="0" fontId="17" fillId="0" borderId="0" xfId="0" applyFont="1" applyFill="1" applyBorder="1"/>
    <xf numFmtId="0" fontId="0" fillId="0" borderId="0" xfId="0"/>
    <xf numFmtId="0" fontId="7" fillId="0" borderId="0" xfId="0" applyFont="1"/>
    <xf numFmtId="0" fontId="7" fillId="21" borderId="0" xfId="21">
      <alignment horizontal="center" vertical="center" wrapText="1"/>
    </xf>
    <xf numFmtId="0" fontId="7" fillId="0" borderId="0" xfId="0" applyFont="1" applyAlignment="1">
      <alignment horizontal="center" vertical="top"/>
    </xf>
    <xf numFmtId="0" fontId="0" fillId="0" borderId="0" xfId="0"/>
    <xf numFmtId="0" fontId="7" fillId="0" borderId="0" xfId="0" applyFont="1"/>
    <xf numFmtId="0" fontId="2" fillId="4" borderId="2" xfId="2" applyBorder="1" applyAlignment="1">
      <alignment wrapText="1"/>
    </xf>
    <xf numFmtId="0" fontId="0" fillId="0" borderId="0" xfId="0"/>
    <xf numFmtId="0" fontId="0" fillId="0" borderId="0" xfId="0" applyAlignment="1">
      <alignment horizontal="center"/>
    </xf>
    <xf numFmtId="0" fontId="7" fillId="0" borderId="0" xfId="0" applyFont="1"/>
    <xf numFmtId="0" fontId="0" fillId="0" borderId="0" xfId="0"/>
    <xf numFmtId="0" fontId="7" fillId="0" borderId="0" xfId="0" applyFont="1"/>
    <xf numFmtId="0" fontId="7" fillId="17" borderId="0" xfId="0" applyFont="1" applyFill="1"/>
    <xf numFmtId="0" fontId="7" fillId="17" borderId="0" xfId="0" applyFont="1" applyFill="1" applyAlignment="1">
      <alignment wrapText="1"/>
    </xf>
    <xf numFmtId="0" fontId="7" fillId="0" borderId="0" xfId="0" applyFont="1" applyAlignment="1">
      <alignment horizontal="center" vertical="center"/>
    </xf>
    <xf numFmtId="0" fontId="19"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center" vertical="center"/>
    </xf>
    <xf numFmtId="0" fontId="0" fillId="19" borderId="0" xfId="19" applyFont="1" applyBorder="1" applyAlignment="1"/>
    <xf numFmtId="0" fontId="11" fillId="12" borderId="0" xfId="12" applyFont="1"/>
    <xf numFmtId="0" fontId="7" fillId="22" borderId="0" xfId="22">
      <alignment horizontal="center" vertical="center" wrapText="1"/>
    </xf>
    <xf numFmtId="49" fontId="0" fillId="0" borderId="5" xfId="0" applyNumberFormat="1" applyBorder="1"/>
    <xf numFmtId="16" fontId="21" fillId="10" borderId="5" xfId="9" applyNumberFormat="1" applyFont="1" applyBorder="1"/>
    <xf numFmtId="0" fontId="21" fillId="10" borderId="5" xfId="9" applyFont="1" applyBorder="1"/>
    <xf numFmtId="0" fontId="6" fillId="13" borderId="5" xfId="13" applyBorder="1"/>
    <xf numFmtId="0" fontId="6" fillId="13" borderId="0" xfId="13" applyBorder="1"/>
    <xf numFmtId="0" fontId="6" fillId="18" borderId="5" xfId="17" applyBorder="1" applyAlignment="1">
      <alignment horizontal="center" vertical="center"/>
    </xf>
    <xf numFmtId="0" fontId="6" fillId="12" borderId="12" xfId="12" applyBorder="1"/>
    <xf numFmtId="0" fontId="7" fillId="22" borderId="31" xfId="22" applyBorder="1">
      <alignment horizontal="center" vertical="center" wrapText="1"/>
    </xf>
    <xf numFmtId="0" fontId="7" fillId="22" borderId="32" xfId="22" applyBorder="1">
      <alignment horizontal="center" vertical="center" wrapText="1"/>
    </xf>
    <xf numFmtId="0" fontId="7" fillId="22" borderId="33" xfId="22" applyBorder="1">
      <alignment horizontal="center" vertical="center" wrapText="1"/>
    </xf>
    <xf numFmtId="0" fontId="7" fillId="22" borderId="34" xfId="22" applyBorder="1">
      <alignment horizontal="center" vertical="center" wrapText="1"/>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15" fillId="0" borderId="36" xfId="0" applyFont="1" applyBorder="1" applyAlignment="1">
      <alignment horizontal="center" vertical="center"/>
    </xf>
    <xf numFmtId="0" fontId="2" fillId="17" borderId="37" xfId="2" applyFill="1" applyBorder="1" applyAlignment="1">
      <alignment wrapText="1"/>
    </xf>
    <xf numFmtId="0" fontId="7" fillId="0" borderId="31" xfId="0" applyFont="1" applyBorder="1"/>
    <xf numFmtId="0" fontId="7" fillId="0" borderId="32" xfId="0" applyFont="1" applyBorder="1"/>
    <xf numFmtId="0" fontId="7" fillId="17" borderId="32" xfId="0" applyFont="1" applyFill="1" applyBorder="1"/>
    <xf numFmtId="0" fontId="0" fillId="17" borderId="32" xfId="0" applyFill="1" applyBorder="1"/>
    <xf numFmtId="0" fontId="2" fillId="17" borderId="32" xfId="2" applyFill="1" applyBorder="1" applyAlignment="1">
      <alignment wrapText="1"/>
    </xf>
    <xf numFmtId="0" fontId="2" fillId="17" borderId="33" xfId="2" applyFill="1" applyBorder="1" applyAlignment="1">
      <alignment wrapText="1"/>
    </xf>
    <xf numFmtId="0" fontId="7" fillId="22" borderId="38" xfId="22" applyBorder="1">
      <alignment horizontal="center" vertical="center" wrapText="1"/>
    </xf>
    <xf numFmtId="0" fontId="7" fillId="22" borderId="39" xfId="22" applyBorder="1">
      <alignment horizontal="center" vertical="center" wrapText="1"/>
    </xf>
    <xf numFmtId="0" fontId="7" fillId="22" borderId="30" xfId="22" applyBorder="1">
      <alignment horizontal="center" vertical="center" wrapText="1"/>
    </xf>
    <xf numFmtId="0" fontId="7" fillId="0" borderId="0" xfId="0" applyFont="1"/>
    <xf numFmtId="0" fontId="2" fillId="4" borderId="0" xfId="2" applyAlignment="1">
      <alignment horizontal="center" vertical="center" wrapText="1"/>
    </xf>
    <xf numFmtId="0" fontId="7" fillId="17" borderId="2" xfId="0" applyFont="1" applyFill="1" applyBorder="1" applyAlignment="1">
      <alignment wrapText="1"/>
    </xf>
    <xf numFmtId="0" fontId="7" fillId="22" borderId="40" xfId="22" applyBorder="1">
      <alignment horizontal="center" vertical="center" wrapText="1"/>
    </xf>
    <xf numFmtId="0" fontId="0" fillId="0" borderId="0" xfId="0"/>
    <xf numFmtId="0" fontId="0" fillId="0" borderId="0" xfId="0" applyAlignment="1">
      <alignment horizontal="center"/>
    </xf>
    <xf numFmtId="0" fontId="7" fillId="0" borderId="0" xfId="0" applyFont="1"/>
    <xf numFmtId="0" fontId="7" fillId="23" borderId="0" xfId="23">
      <alignment horizontal="center" vertical="center" wrapText="1"/>
    </xf>
    <xf numFmtId="0" fontId="2" fillId="23" borderId="0" xfId="23" applyFont="1" applyAlignment="1">
      <alignment horizontal="center" vertical="center" wrapText="1"/>
    </xf>
    <xf numFmtId="0" fontId="7" fillId="23" borderId="0" xfId="23" applyAlignment="1">
      <alignment horizontal="center" vertical="center" wrapText="1"/>
    </xf>
    <xf numFmtId="0" fontId="0" fillId="23" borderId="0" xfId="23" applyFont="1" applyAlignment="1">
      <alignment horizontal="center"/>
    </xf>
    <xf numFmtId="0" fontId="7" fillId="23" borderId="0" xfId="23" applyFont="1" applyAlignment="1">
      <alignment wrapText="1"/>
    </xf>
    <xf numFmtId="0" fontId="0" fillId="0" borderId="0" xfId="0"/>
    <xf numFmtId="0" fontId="0" fillId="0" borderId="0" xfId="0" applyAlignment="1">
      <alignment horizontal="center"/>
    </xf>
    <xf numFmtId="0" fontId="7" fillId="0" borderId="0" xfId="0" applyFont="1"/>
    <xf numFmtId="0" fontId="7" fillId="24" borderId="0" xfId="24">
      <alignment horizontal="center" vertical="center" wrapText="1"/>
    </xf>
    <xf numFmtId="0" fontId="3" fillId="5" borderId="0" xfId="3"/>
    <xf numFmtId="0" fontId="7" fillId="0" borderId="0" xfId="0" applyFont="1"/>
    <xf numFmtId="0" fontId="34" fillId="24" borderId="0" xfId="24" applyFont="1">
      <alignment horizontal="center" vertical="center" wrapText="1"/>
    </xf>
    <xf numFmtId="0" fontId="7" fillId="22" borderId="0" xfId="22">
      <alignment horizontal="center" vertical="center" wrapText="1"/>
    </xf>
    <xf numFmtId="0" fontId="0" fillId="0" borderId="0" xfId="0" applyAlignment="1">
      <alignment horizontal="center"/>
    </xf>
    <xf numFmtId="0" fontId="7" fillId="22" borderId="0" xfId="22">
      <alignment horizontal="center" vertical="center" wrapText="1"/>
    </xf>
    <xf numFmtId="0" fontId="0" fillId="0" borderId="0" xfId="0"/>
    <xf numFmtId="0" fontId="7" fillId="0" borderId="0" xfId="0" applyFont="1"/>
    <xf numFmtId="0" fontId="36" fillId="25" borderId="0" xfId="25" applyFont="1">
      <alignment horizontal="center" vertical="center" wrapText="1"/>
    </xf>
    <xf numFmtId="0" fontId="7" fillId="19" borderId="31" xfId="19" applyFont="1" applyBorder="1" applyAlignment="1">
      <alignment horizontal="center" vertical="center" wrapText="1"/>
    </xf>
    <xf numFmtId="0" fontId="7" fillId="19" borderId="32" xfId="19" applyFont="1" applyBorder="1" applyAlignment="1">
      <alignment horizontal="center" vertical="center" wrapText="1"/>
    </xf>
    <xf numFmtId="0" fontId="7" fillId="19" borderId="38" xfId="19" applyFont="1" applyBorder="1" applyAlignment="1">
      <alignment horizontal="center" vertical="center" wrapText="1"/>
    </xf>
    <xf numFmtId="0" fontId="7" fillId="19" borderId="39" xfId="19" applyFont="1" applyBorder="1" applyAlignment="1">
      <alignment horizontal="center" vertical="center" wrapText="1"/>
    </xf>
    <xf numFmtId="0" fontId="7" fillId="19" borderId="33" xfId="19" applyFont="1" applyBorder="1" applyAlignment="1">
      <alignment horizontal="center" vertical="center" wrapText="1"/>
    </xf>
    <xf numFmtId="0" fontId="7" fillId="19" borderId="34" xfId="19" applyFont="1" applyBorder="1" applyAlignment="1">
      <alignment horizontal="center" vertical="center" wrapText="1"/>
    </xf>
    <xf numFmtId="0" fontId="7" fillId="19" borderId="30" xfId="19" applyFont="1" applyBorder="1" applyAlignment="1">
      <alignment horizontal="center" vertical="center" wrapText="1"/>
    </xf>
    <xf numFmtId="0" fontId="7" fillId="19" borderId="40" xfId="19" applyFont="1" applyBorder="1" applyAlignment="1">
      <alignment horizontal="center" vertical="center" wrapText="1"/>
    </xf>
    <xf numFmtId="0" fontId="0" fillId="19" borderId="0" xfId="19" applyFont="1" applyBorder="1" applyAlignment="1">
      <alignment horizontal="right"/>
    </xf>
    <xf numFmtId="0" fontId="37" fillId="25" borderId="0" xfId="25" applyFont="1">
      <alignment horizontal="center" vertical="center" wrapText="1"/>
    </xf>
    <xf numFmtId="0" fontId="7" fillId="24" borderId="0" xfId="24" applyFont="1">
      <alignment horizontal="center" vertical="center" wrapText="1"/>
    </xf>
    <xf numFmtId="0" fontId="7" fillId="22" borderId="0" xfId="22" applyFont="1">
      <alignment horizontal="center" vertical="center" wrapText="1"/>
    </xf>
    <xf numFmtId="0" fontId="7" fillId="0" borderId="0" xfId="0" applyFont="1" applyFill="1" applyBorder="1" applyAlignment="1">
      <alignment wrapText="1"/>
    </xf>
    <xf numFmtId="0" fontId="0" fillId="0" borderId="0" xfId="0" applyAlignment="1">
      <alignment horizontal="center"/>
    </xf>
    <xf numFmtId="0" fontId="7" fillId="0" borderId="0" xfId="0" applyFont="1" applyAlignment="1">
      <alignment horizontal="center"/>
    </xf>
    <xf numFmtId="0" fontId="30" fillId="0" borderId="0" xfId="0" applyFont="1" applyAlignment="1">
      <alignment horizontal="center" vertical="center"/>
    </xf>
    <xf numFmtId="0" fontId="36" fillId="25" borderId="0" xfId="25" applyFont="1" applyAlignment="1">
      <alignment horizontal="center" vertical="center" wrapText="1"/>
    </xf>
    <xf numFmtId="0" fontId="0" fillId="0" borderId="0" xfId="0" applyFont="1" applyAlignment="1">
      <alignment horizontal="center"/>
    </xf>
    <xf numFmtId="0" fontId="0" fillId="0" borderId="0" xfId="0" applyAlignment="1">
      <alignment horizontal="center"/>
    </xf>
    <xf numFmtId="0" fontId="7" fillId="22" borderId="0" xfId="22">
      <alignment horizontal="center" vertical="center" wrapText="1"/>
    </xf>
    <xf numFmtId="0" fontId="0" fillId="0" borderId="0" xfId="0"/>
    <xf numFmtId="0" fontId="7" fillId="0" borderId="0" xfId="0" applyFont="1" applyAlignment="1">
      <alignment horizontal="center"/>
    </xf>
    <xf numFmtId="0" fontId="7" fillId="0" borderId="0" xfId="0" applyFont="1"/>
    <xf numFmtId="0" fontId="39" fillId="0" borderId="0" xfId="0" applyFont="1" applyAlignment="1">
      <alignment horizontal="center" vertical="center"/>
    </xf>
    <xf numFmtId="0" fontId="1" fillId="2" borderId="5" xfId="1" applyBorder="1" applyAlignment="1">
      <alignment horizontal="center" vertical="center"/>
    </xf>
    <xf numFmtId="0" fontId="7" fillId="26" borderId="0" xfId="26">
      <alignment horizontal="center" vertical="center" wrapText="1"/>
    </xf>
    <xf numFmtId="0" fontId="39" fillId="23" borderId="0" xfId="23" applyFont="1" applyAlignment="1">
      <alignment horizontal="center" vertical="center"/>
    </xf>
    <xf numFmtId="0" fontId="0" fillId="0" borderId="0" xfId="0" applyAlignment="1">
      <alignment horizontal="center"/>
    </xf>
    <xf numFmtId="0" fontId="7" fillId="22" borderId="0" xfId="22">
      <alignment horizontal="center" vertical="center" wrapText="1"/>
    </xf>
    <xf numFmtId="0" fontId="0" fillId="0" borderId="0" xfId="0"/>
    <xf numFmtId="0" fontId="7" fillId="0" borderId="0" xfId="0" applyFont="1"/>
    <xf numFmtId="0" fontId="7" fillId="27" borderId="0" xfId="27">
      <alignment horizontal="center" vertical="center" wrapText="1"/>
    </xf>
    <xf numFmtId="0" fontId="8" fillId="0" borderId="0" xfId="0" applyFont="1" applyAlignment="1">
      <alignment horizontal="center" vertical="center"/>
    </xf>
    <xf numFmtId="0" fontId="7" fillId="0" borderId="0" xfId="0" applyFont="1" applyAlignment="1">
      <alignment horizontal="center"/>
    </xf>
    <xf numFmtId="0" fontId="4" fillId="28" borderId="0" xfId="2" applyFont="1" applyFill="1" applyAlignment="1">
      <alignment horizontal="center" vertical="center"/>
    </xf>
    <xf numFmtId="0" fontId="7" fillId="27" borderId="0" xfId="27" applyFont="1">
      <alignment horizontal="center" vertical="center" wrapText="1"/>
    </xf>
    <xf numFmtId="0" fontId="4" fillId="0" borderId="0" xfId="0" applyFont="1" applyAlignment="1">
      <alignment horizontal="center"/>
    </xf>
    <xf numFmtId="0" fontId="0" fillId="0" borderId="0" xfId="0" applyAlignment="1">
      <alignment vertical="top" wrapText="1"/>
    </xf>
    <xf numFmtId="0" fontId="0" fillId="0" borderId="0" xfId="0" applyAlignment="1">
      <alignment horizontal="center"/>
    </xf>
    <xf numFmtId="0" fontId="7" fillId="0" borderId="0" xfId="0" applyFont="1" applyAlignment="1">
      <alignment horizontal="center"/>
    </xf>
    <xf numFmtId="0" fontId="0" fillId="0" borderId="0" xfId="0"/>
    <xf numFmtId="0" fontId="7" fillId="22" borderId="0" xfId="22">
      <alignment horizontal="center" vertical="center" wrapText="1"/>
    </xf>
    <xf numFmtId="0" fontId="0" fillId="0" borderId="0" xfId="0" applyAlignment="1">
      <alignment vertical="top" wrapText="1"/>
    </xf>
    <xf numFmtId="0" fontId="7" fillId="0" borderId="0" xfId="0" applyFont="1"/>
    <xf numFmtId="0" fontId="4" fillId="29" borderId="0" xfId="28"/>
    <xf numFmtId="0" fontId="0" fillId="29" borderId="0" xfId="28" applyFont="1"/>
    <xf numFmtId="0" fontId="29" fillId="23" borderId="0" xfId="23" applyFont="1" applyAlignment="1">
      <alignment horizontal="center"/>
    </xf>
    <xf numFmtId="0" fontId="3" fillId="5" borderId="0" xfId="3" applyAlignment="1">
      <alignment horizontal="center"/>
    </xf>
    <xf numFmtId="0" fontId="25" fillId="11" borderId="0" xfId="11" applyFont="1" applyAlignment="1">
      <alignment horizontal="center" wrapText="1"/>
    </xf>
    <xf numFmtId="0" fontId="6" fillId="7" borderId="9" xfId="6" applyBorder="1" applyAlignment="1">
      <alignment horizontal="center" vertical="center" wrapText="1"/>
    </xf>
    <xf numFmtId="0" fontId="31" fillId="20" borderId="0" xfId="20" applyNumberFormat="1" applyFont="1" applyAlignment="1">
      <alignment horizontal="center"/>
    </xf>
    <xf numFmtId="0" fontId="0" fillId="0" borderId="0" xfId="0" applyAlignment="1">
      <alignment horizontal="center"/>
    </xf>
    <xf numFmtId="0" fontId="2" fillId="4" borderId="0" xfId="2" applyAlignment="1">
      <alignment horizontal="center"/>
    </xf>
    <xf numFmtId="0" fontId="1" fillId="2" borderId="0" xfId="1" applyAlignment="1">
      <alignment horizontal="center"/>
    </xf>
    <xf numFmtId="0" fontId="0" fillId="9" borderId="0" xfId="8" applyFont="1" applyAlignment="1">
      <alignment horizontal="center" wrapText="1"/>
    </xf>
    <xf numFmtId="0" fontId="4" fillId="9" borderId="0" xfId="8" applyAlignment="1">
      <alignment horizontal="center" wrapText="1"/>
    </xf>
    <xf numFmtId="0" fontId="33" fillId="22" borderId="0" xfId="22" applyFont="1">
      <alignment horizontal="center" vertical="center" wrapText="1"/>
    </xf>
    <xf numFmtId="0" fontId="7" fillId="0" borderId="0" xfId="0" applyFont="1" applyAlignment="1">
      <alignment horizontal="center"/>
    </xf>
    <xf numFmtId="0" fontId="38" fillId="23" borderId="0" xfId="23" applyFont="1" applyAlignment="1">
      <alignment horizontal="center"/>
    </xf>
    <xf numFmtId="0" fontId="18" fillId="13" borderId="0" xfId="13" applyFont="1" applyAlignment="1">
      <alignment horizontal="center"/>
    </xf>
    <xf numFmtId="0" fontId="0" fillId="0" borderId="0" xfId="0" applyAlignment="1">
      <alignment wrapText="1"/>
    </xf>
    <xf numFmtId="0" fontId="0" fillId="0" borderId="0" xfId="0"/>
    <xf numFmtId="0" fontId="0" fillId="0" borderId="0" xfId="0" applyAlignment="1"/>
    <xf numFmtId="0" fontId="21" fillId="10" borderId="3" xfId="9" applyFont="1" applyBorder="1" applyAlignment="1">
      <alignment horizontal="center"/>
    </xf>
    <xf numFmtId="0" fontId="21" fillId="10" borderId="4" xfId="9" applyFont="1" applyBorder="1" applyAlignment="1">
      <alignment horizontal="center"/>
    </xf>
    <xf numFmtId="0" fontId="21" fillId="10" borderId="5" xfId="9" applyFont="1" applyBorder="1" applyAlignment="1">
      <alignment horizontal="center"/>
    </xf>
    <xf numFmtId="0" fontId="0" fillId="14" borderId="3" xfId="14" applyFont="1" applyBorder="1" applyAlignment="1">
      <alignment horizontal="center"/>
    </xf>
    <xf numFmtId="0" fontId="4" fillId="14" borderId="4" xfId="14" applyFont="1" applyBorder="1" applyAlignment="1">
      <alignment horizontal="center"/>
    </xf>
    <xf numFmtId="0" fontId="4" fillId="14" borderId="5" xfId="14" applyFont="1" applyBorder="1" applyAlignment="1">
      <alignment horizontal="center"/>
    </xf>
    <xf numFmtId="0" fontId="3" fillId="5" borderId="2" xfId="3" applyBorder="1" applyAlignment="1">
      <alignment horizontal="center"/>
    </xf>
    <xf numFmtId="0" fontId="7" fillId="22" borderId="0" xfId="22">
      <alignment horizontal="center" vertical="center" wrapText="1"/>
    </xf>
    <xf numFmtId="0" fontId="24" fillId="10" borderId="11" xfId="9" applyFont="1" applyBorder="1" applyAlignment="1">
      <alignment horizontal="center" vertical="top" wrapText="1"/>
    </xf>
    <xf numFmtId="0" fontId="24" fillId="10" borderId="6" xfId="9" applyFont="1" applyBorder="1" applyAlignment="1">
      <alignment horizontal="center" vertical="top" wrapText="1"/>
    </xf>
    <xf numFmtId="0" fontId="24" fillId="10" borderId="14" xfId="9" applyFont="1" applyBorder="1" applyAlignment="1">
      <alignment horizontal="center" vertical="top" wrapText="1"/>
    </xf>
    <xf numFmtId="0" fontId="24" fillId="10" borderId="15" xfId="9" applyFont="1" applyBorder="1" applyAlignment="1">
      <alignment horizontal="center" vertical="top" wrapText="1"/>
    </xf>
    <xf numFmtId="0" fontId="24" fillId="10" borderId="8" xfId="9" applyFont="1" applyBorder="1" applyAlignment="1">
      <alignment horizontal="center" vertical="top" wrapText="1"/>
    </xf>
    <xf numFmtId="0" fontId="24" fillId="10" borderId="16" xfId="9" applyFont="1" applyBorder="1" applyAlignment="1">
      <alignment horizontal="center" vertical="top" wrapText="1"/>
    </xf>
    <xf numFmtId="0" fontId="14" fillId="8" borderId="0" xfId="7" applyFont="1" applyAlignment="1">
      <alignment horizontal="center"/>
    </xf>
    <xf numFmtId="0" fontId="0" fillId="0" borderId="0" xfId="0" applyAlignment="1">
      <alignment horizontal="left" vertical="top"/>
    </xf>
    <xf numFmtId="0" fontId="0" fillId="23" borderId="0" xfId="23" applyFont="1" applyAlignment="1">
      <alignment horizontal="center"/>
    </xf>
    <xf numFmtId="0" fontId="26" fillId="12" borderId="0" xfId="12" applyFont="1" applyAlignment="1">
      <alignment horizontal="center" wrapText="1"/>
    </xf>
    <xf numFmtId="0" fontId="14" fillId="8" borderId="0" xfId="7" applyFont="1" applyAlignment="1">
      <alignment horizontal="center" vertical="top" wrapText="1"/>
    </xf>
    <xf numFmtId="0" fontId="14" fillId="8" borderId="0" xfId="7" applyFont="1" applyAlignment="1">
      <alignment horizontal="center" vertical="top"/>
    </xf>
    <xf numFmtId="0" fontId="5" fillId="3" borderId="1" xfId="4" applyAlignment="1">
      <alignment horizontal="center" vertical="top"/>
    </xf>
    <xf numFmtId="0" fontId="1" fillId="2" borderId="0" xfId="1" applyAlignment="1">
      <alignment horizontal="center" wrapText="1"/>
    </xf>
    <xf numFmtId="0" fontId="13" fillId="0" borderId="0" xfId="10" applyAlignment="1">
      <alignment horizontal="center"/>
    </xf>
    <xf numFmtId="0" fontId="0" fillId="19" borderId="0" xfId="19" applyFont="1" applyBorder="1" applyAlignment="1">
      <alignment horizontal="center"/>
    </xf>
    <xf numFmtId="0" fontId="5" fillId="3" borderId="1" xfId="4" applyAlignment="1">
      <alignment horizont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0" xfId="0" applyAlignment="1">
      <alignment vertical="top" wrapText="1"/>
    </xf>
    <xf numFmtId="0" fontId="7" fillId="0" borderId="0" xfId="0" applyFont="1"/>
    <xf numFmtId="0" fontId="0" fillId="0" borderId="0" xfId="0" applyAlignment="1">
      <alignment horizontal="center" vertical="top" wrapText="1"/>
    </xf>
    <xf numFmtId="0" fontId="4" fillId="29" borderId="0" xfId="28" applyAlignment="1">
      <alignment horizontal="center" vertical="center" wrapText="1"/>
    </xf>
    <xf numFmtId="0" fontId="0" fillId="29" borderId="0" xfId="28" applyFont="1" applyAlignment="1">
      <alignment horizontal="center" vertical="center" wrapText="1"/>
    </xf>
  </cellXfs>
  <cellStyles count="29">
    <cellStyle name="40% - Accent1" xfId="5" builtinId="31"/>
    <cellStyle name="40% - Accent3" xfId="11" builtinId="39"/>
    <cellStyle name="40% - Accent4" xfId="15" builtinId="43"/>
    <cellStyle name="40% - Accent5" xfId="7" builtinId="47"/>
    <cellStyle name="40% - Accent6" xfId="8" builtinId="51"/>
    <cellStyle name="60% - Accent5" xfId="17" builtinId="48"/>
    <cellStyle name="60% - Accent6" xfId="14" builtinId="52"/>
    <cellStyle name="Accent2" xfId="12" builtinId="33"/>
    <cellStyle name="Accent3" xfId="9" builtinId="37"/>
    <cellStyle name="Accent4" xfId="6" builtinId="41"/>
    <cellStyle name="Accent5" xfId="13" builtinId="45"/>
    <cellStyle name="Accent6" xfId="20" builtinId="49"/>
    <cellStyle name="Bad" xfId="2" builtinId="27"/>
    <cellStyle name="cem2" xfId="27"/>
    <cellStyle name="Good" xfId="3" builtinId="26"/>
    <cellStyle name="Hyperlink" xfId="10" builtinId="8"/>
    <cellStyle name="Input" xfId="4" builtinId="20"/>
    <cellStyle name="light pink" xfId="28"/>
    <cellStyle name="Neutral" xfId="1" builtinId="28"/>
    <cellStyle name="Normal" xfId="0" builtinId="0"/>
    <cellStyle name="Note" xfId="16" builtinId="10"/>
    <cellStyle name="oran" xfId="26"/>
    <cellStyle name="pink" xfId="25"/>
    <cellStyle name="Style 1" xfId="19"/>
    <cellStyle name="Style 2" xfId="21"/>
    <cellStyle name="Style 3" xfId="22"/>
    <cellStyle name="Style 4" xfId="24"/>
    <cellStyle name="Total" xfId="18" builtinId="25"/>
    <cellStyle name="yel-org" xfId="23"/>
  </cellStyles>
  <dxfs count="66">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fill>
        <gradientFill type="path" left="0.5" right="0.5" top="0.5" bottom="0.5">
          <stop position="0">
            <color theme="0"/>
          </stop>
          <stop position="1">
            <color rgb="FFFFCC00"/>
          </stop>
        </gradientFill>
      </fill>
    </dxf>
    <dxf>
      <fill>
        <gradientFill degree="45">
          <stop position="0">
            <color theme="0"/>
          </stop>
          <stop position="0.5">
            <color rgb="FF50E6BF"/>
          </stop>
          <stop position="1">
            <color theme="0"/>
          </stop>
        </gradientFill>
      </fill>
    </dxf>
    <dxf>
      <fill>
        <gradientFill>
          <stop position="0">
            <color theme="0"/>
          </stop>
          <stop position="1">
            <color theme="8" tint="-0.49803155613879818"/>
          </stop>
        </gradientFill>
      </fill>
    </dxf>
    <dxf>
      <fill>
        <gradientFill type="path" left="0.5" right="0.5" top="0.5" bottom="0.5">
          <stop position="0">
            <color theme="4" tint="0.59999389629810485"/>
          </stop>
          <stop position="1">
            <color rgb="FFFFFFCC"/>
          </stop>
        </gradientFill>
      </fill>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fill>
        <gradientFill type="path" left="0.5" right="0.5" top="0.5" bottom="0.5">
          <stop position="0">
            <color theme="0"/>
          </stop>
          <stop position="1">
            <color rgb="FFFFCC00"/>
          </stop>
        </gradientFill>
      </fill>
    </dxf>
    <dxf>
      <fill>
        <gradientFill degree="45">
          <stop position="0">
            <color theme="0"/>
          </stop>
          <stop position="0.5">
            <color rgb="FF50E6BF"/>
          </stop>
          <stop position="1">
            <color theme="0"/>
          </stop>
        </gradientFill>
      </fill>
    </dxf>
    <dxf>
      <border outline="0">
        <bottom style="thin">
          <color rgb="FF000000"/>
        </bottom>
      </border>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fill>
        <gradientFill type="path" left="0.5" right="0.5" top="0.5" bottom="0.5">
          <stop position="0">
            <color theme="0"/>
          </stop>
          <stop position="1">
            <color rgb="FFFFCC00"/>
          </stop>
        </gradientFill>
      </fill>
    </dxf>
    <dxf>
      <fill>
        <gradientFill degree="45">
          <stop position="0">
            <color theme="0"/>
          </stop>
          <stop position="0.5">
            <color rgb="FF50E6BF"/>
          </stop>
          <stop position="1">
            <color theme="0"/>
          </stop>
        </gradientFill>
      </fill>
    </dxf>
    <dxf>
      <fill>
        <gradientFill>
          <stop position="0">
            <color theme="0"/>
          </stop>
          <stop position="1">
            <color theme="8" tint="-0.49803155613879818"/>
          </stop>
        </gradientFill>
      </fill>
    </dxf>
    <dxf>
      <border outline="0">
        <bottom style="thin">
          <color rgb="FF000000"/>
        </bottom>
      </border>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fill>
        <gradientFill type="path" left="0.5" right="0.5" top="0.5" bottom="0.5">
          <stop position="0">
            <color theme="0"/>
          </stop>
          <stop position="1">
            <color rgb="FFFFCC00"/>
          </stop>
        </gradientFill>
      </fill>
    </dxf>
    <dxf>
      <fill>
        <gradientFill type="path">
          <stop position="0">
            <color theme="0"/>
          </stop>
          <stop position="1">
            <color rgb="FFFFCC00"/>
          </stop>
        </gradientFill>
      </fill>
    </dxf>
    <dxf>
      <fill>
        <gradientFill degree="45">
          <stop position="0">
            <color theme="1" tint="0.34900967436750391"/>
          </stop>
          <stop position="0.5">
            <color rgb="FFFF9900"/>
          </stop>
          <stop position="1">
            <color theme="1" tint="0.34900967436750391"/>
          </stop>
        </gradientFill>
      </fill>
    </dxf>
    <dxf>
      <font>
        <strike val="0"/>
        <outline val="0"/>
        <shadow val="0"/>
        <u val="none"/>
        <vertAlign val="baseline"/>
        <sz val="11"/>
        <color theme="2"/>
        <name val="Segoe UI"/>
        <scheme val="none"/>
      </font>
    </dxf>
    <dxf>
      <border outline="0">
        <bottom style="thin">
          <color rgb="FF000000"/>
        </bottom>
      </border>
    </dxf>
    <dxf>
      <font>
        <strike val="0"/>
        <outline val="0"/>
        <shadow val="0"/>
        <u val="none"/>
        <vertAlign val="baseline"/>
        <sz val="11"/>
        <color rgb="FFEEECE1"/>
        <name val="Segoe UI"/>
        <scheme val="none"/>
      </font>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fill>
        <gradientFill type="path" left="0.5" right="0.5" top="0.5" bottom="0.5">
          <stop position="0">
            <color theme="0"/>
          </stop>
          <stop position="1">
            <color rgb="FFFFCC00"/>
          </stop>
        </gradientFill>
      </fill>
    </dxf>
    <dxf>
      <fill>
        <gradientFill type="path">
          <stop position="0">
            <color theme="0"/>
          </stop>
          <stop position="1">
            <color rgb="FFFFCC00"/>
          </stop>
        </gradientFill>
      </fill>
    </dxf>
    <dxf>
      <fill>
        <gradientFill degree="180">
          <stop position="0">
            <color theme="1"/>
          </stop>
          <stop position="1">
            <color rgb="FFFF3399"/>
          </stop>
        </gradientFill>
      </fill>
    </dxf>
    <dxf>
      <alignment horizontal="center" textRotation="0" indent="0" justifyLastLine="0" shrinkToFit="0" readingOrder="0"/>
    </dxf>
    <dxf>
      <border outline="0">
        <bottom style="thin">
          <color rgb="FF000000"/>
        </bottom>
      </border>
    </dxf>
    <dxf>
      <alignment horizontal="center" textRotation="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fill>
        <gradientFill type="path" left="0.5" right="0.5" top="0.5" bottom="0.5">
          <stop position="0">
            <color theme="0"/>
          </stop>
          <stop position="1">
            <color rgb="FFFFCC00"/>
          </stop>
        </gradientFill>
      </fill>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alignment horizontal="center" textRotation="0" indent="0" justifyLastLine="0" shrinkToFit="0" readingOrder="0"/>
    </dxf>
    <dxf>
      <border outline="0">
        <bottom style="thin">
          <color rgb="FF000000"/>
        </bottom>
      </border>
    </dxf>
    <dxf>
      <alignment horizontal="center" textRotation="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left="0.5" right="0.5" top="0.5" bottom="0.5">
          <stop position="0">
            <color theme="0"/>
          </stop>
          <stop position="1">
            <color rgb="FFFFCC00"/>
          </stop>
        </gradientFill>
      </fill>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border outline="0">
        <bottom style="thin">
          <color rgb="FF000000"/>
        </bottom>
      </border>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left="0.5" right="0.5" top="0.5" bottom="0.5">
          <stop position="0">
            <color theme="0"/>
          </stop>
          <stop position="1">
            <color rgb="FFFFCC00"/>
          </stop>
        </gradientFill>
      </fill>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border outline="0">
        <bottom style="thin">
          <color indexed="64"/>
        </bottom>
      </border>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left="0.5" right="0.5" top="0.5" bottom="0.5">
          <stop position="0">
            <color theme="0"/>
          </stop>
          <stop position="1">
            <color rgb="FFFFCC00"/>
          </stop>
        </gradientFill>
      </fill>
    </dxf>
    <dxf>
      <fill>
        <gradientFill type="path">
          <stop position="0">
            <color theme="0"/>
          </stop>
          <stop position="1">
            <color rgb="FF00FF99"/>
          </stop>
        </gradientFill>
      </fill>
    </dxf>
    <dxf>
      <fill>
        <gradientFill degree="135">
          <stop position="0">
            <color theme="2"/>
          </stop>
          <stop position="0.5">
            <color rgb="FFFFCC00"/>
          </stop>
          <stop position="1">
            <color theme="2"/>
          </stop>
        </gradientFill>
      </fill>
    </dxf>
    <dxf>
      <fill>
        <gradientFill degree="180">
          <stop position="0">
            <color theme="2" tint="-0.49803155613879818"/>
          </stop>
          <stop position="1">
            <color rgb="FFFFCC00"/>
          </stop>
        </gradientFill>
      </fill>
    </dxf>
    <dxf>
      <fill>
        <gradientFill type="path" left="1" right="1" top="1" bottom="1">
          <stop position="0">
            <color theme="0"/>
          </stop>
          <stop position="1">
            <color rgb="FF99CC00"/>
          </stop>
        </gradientFill>
      </fill>
    </dxf>
    <dxf>
      <fill>
        <gradientFill type="path" left="0.5" right="0.5" top="0.5" bottom="0.5">
          <stop position="0">
            <color theme="0"/>
          </stop>
          <stop position="1">
            <color rgb="FFFF9933"/>
          </stop>
        </gradientFill>
      </fill>
    </dxf>
    <dxf>
      <fill>
        <gradientFill degree="135">
          <stop position="0">
            <color theme="0"/>
          </stop>
          <stop position="0.5">
            <color rgb="FFCCCC00"/>
          </stop>
          <stop position="1">
            <color theme="0"/>
          </stop>
        </gradientFill>
      </fill>
    </dxf>
    <dxf>
      <fill>
        <patternFill>
          <bgColor theme="7" tint="0.39994506668294322"/>
        </patternFill>
      </fill>
    </dxf>
  </dxfs>
  <tableStyles count="2" defaultTableStyle="TableStyleMedium2" defaultPivotStyle="PivotStyleMedium9">
    <tableStyle name="Table Style 1" pivot="0" count="0"/>
    <tableStyle name="Table Style 2" pivot="0" count="1">
      <tableStyleElement type="secondRowStripe" dxfId="65"/>
    </tableStyle>
  </tableStyles>
  <colors>
    <mruColors>
      <color rgb="FFFFFFCC"/>
      <color rgb="FFFFFF99"/>
      <color rgb="FFFFFF66"/>
      <color rgb="FFC26ABE"/>
      <color rgb="FFA0429C"/>
      <color rgb="FFDD2F92"/>
      <color rgb="FF50E6BF"/>
      <color rgb="FF8BF52B"/>
      <color rgb="FFCC6600"/>
      <color rgb="FFED33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'1.jan'!$A$3:$A$33</c:f>
              <c:numCache>
                <c:formatCode>d\-mmm</c:formatCode>
                <c:ptCount val="31"/>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numCache>
            </c:numRef>
          </c:cat>
          <c:val>
            <c:numRef>
              <c:f>'1.jan'!$B$3:$B$33</c:f>
              <c:numCache>
                <c:formatCode>General</c:formatCode>
                <c:ptCount val="31"/>
                <c:pt idx="0">
                  <c:v>4.75</c:v>
                </c:pt>
                <c:pt idx="1">
                  <c:v>7</c:v>
                </c:pt>
                <c:pt idx="2">
                  <c:v>4.5</c:v>
                </c:pt>
                <c:pt idx="3">
                  <c:v>7.25</c:v>
                </c:pt>
                <c:pt idx="4">
                  <c:v>3</c:v>
                </c:pt>
                <c:pt idx="5">
                  <c:v>1.75</c:v>
                </c:pt>
                <c:pt idx="6">
                  <c:v>3</c:v>
                </c:pt>
                <c:pt idx="7">
                  <c:v>2.5</c:v>
                </c:pt>
                <c:pt idx="8">
                  <c:v>0.5</c:v>
                </c:pt>
                <c:pt idx="9">
                  <c:v>2</c:v>
                </c:pt>
                <c:pt idx="10">
                  <c:v>1.5</c:v>
                </c:pt>
                <c:pt idx="13">
                  <c:v>0</c:v>
                </c:pt>
                <c:pt idx="14">
                  <c:v>0</c:v>
                </c:pt>
                <c:pt idx="15">
                  <c:v>0</c:v>
                </c:pt>
                <c:pt idx="16">
                  <c:v>0</c:v>
                </c:pt>
                <c:pt idx="17">
                  <c:v>0</c:v>
                </c:pt>
                <c:pt idx="20">
                  <c:v>5</c:v>
                </c:pt>
                <c:pt idx="21">
                  <c:v>6.5</c:v>
                </c:pt>
                <c:pt idx="30">
                  <c:v>1</c:v>
                </c:pt>
              </c:numCache>
            </c:numRef>
          </c:val>
          <c:smooth val="0"/>
        </c:ser>
        <c:dLbls>
          <c:dLblPos val="ctr"/>
          <c:showLegendKey val="0"/>
          <c:showVal val="1"/>
          <c:showCatName val="0"/>
          <c:showSerName val="0"/>
          <c:showPercent val="0"/>
          <c:showBubbleSize val="0"/>
        </c:dLbls>
        <c:smooth val="0"/>
        <c:axId val="-711024064"/>
        <c:axId val="-711025152"/>
      </c:lineChart>
      <c:dateAx>
        <c:axId val="-71102406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5152"/>
        <c:crosses val="autoZero"/>
        <c:auto val="1"/>
        <c:lblOffset val="100"/>
        <c:baseTimeUnit val="days"/>
      </c:dateAx>
      <c:valAx>
        <c:axId val="-7110251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4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'2.feb'!$A$3:$A$30</c:f>
              <c:numCache>
                <c:formatCode>d\-mmm</c:formatCode>
                <c:ptCount val="28"/>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cat>
          <c:val>
            <c:numRef>
              <c:f>'2.feb'!$B$3:$B$30</c:f>
              <c:numCache>
                <c:formatCode>General</c:formatCode>
                <c:ptCount val="28"/>
                <c:pt idx="0">
                  <c:v>4.5</c:v>
                </c:pt>
                <c:pt idx="1">
                  <c:v>1</c:v>
                </c:pt>
                <c:pt idx="2">
                  <c:v>0.75</c:v>
                </c:pt>
                <c:pt idx="3">
                  <c:v>0.75</c:v>
                </c:pt>
                <c:pt idx="7">
                  <c:v>0.5</c:v>
                </c:pt>
                <c:pt idx="9">
                  <c:v>1.5</c:v>
                </c:pt>
                <c:pt idx="10">
                  <c:v>0</c:v>
                </c:pt>
                <c:pt idx="12">
                  <c:v>3</c:v>
                </c:pt>
                <c:pt idx="18">
                  <c:v>1</c:v>
                </c:pt>
                <c:pt idx="19">
                  <c:v>2</c:v>
                </c:pt>
                <c:pt idx="20">
                  <c:v>7</c:v>
                </c:pt>
                <c:pt idx="21">
                  <c:v>7</c:v>
                </c:pt>
                <c:pt idx="22">
                  <c:v>2.25</c:v>
                </c:pt>
                <c:pt idx="23">
                  <c:v>1</c:v>
                </c:pt>
                <c:pt idx="27">
                  <c:v>3.75</c:v>
                </c:pt>
              </c:numCache>
            </c:numRef>
          </c:val>
          <c:smooth val="0"/>
        </c:ser>
        <c:dLbls>
          <c:dLblPos val="ctr"/>
          <c:showLegendKey val="0"/>
          <c:showVal val="1"/>
          <c:showCatName val="0"/>
          <c:showSerName val="0"/>
          <c:showPercent val="0"/>
          <c:showBubbleSize val="0"/>
        </c:dLbls>
        <c:smooth val="0"/>
        <c:axId val="-711024608"/>
        <c:axId val="-711035488"/>
      </c:lineChart>
      <c:dateAx>
        <c:axId val="-71102460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35488"/>
        <c:crosses val="autoZero"/>
        <c:auto val="1"/>
        <c:lblOffset val="100"/>
        <c:baseTimeUnit val="days"/>
      </c:dateAx>
      <c:valAx>
        <c:axId val="-711035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4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'3.march'!$A$3:$A$30</c:f>
              <c:numCache>
                <c:formatCode>d\-mmm</c:formatCode>
                <c:ptCount val="28"/>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numCache>
            </c:numRef>
          </c:cat>
          <c:val>
            <c:numRef>
              <c:f>'3.march'!$B$3:$B$30</c:f>
              <c:numCache>
                <c:formatCode>General</c:formatCode>
                <c:ptCount val="28"/>
                <c:pt idx="0">
                  <c:v>2</c:v>
                </c:pt>
                <c:pt idx="1">
                  <c:v>3</c:v>
                </c:pt>
                <c:pt idx="2">
                  <c:v>3</c:v>
                </c:pt>
                <c:pt idx="3">
                  <c:v>4.25</c:v>
                </c:pt>
                <c:pt idx="4">
                  <c:v>1.5</c:v>
                </c:pt>
                <c:pt idx="5">
                  <c:v>0</c:v>
                </c:pt>
                <c:pt idx="6">
                  <c:v>0.5</c:v>
                </c:pt>
                <c:pt idx="7">
                  <c:v>0</c:v>
                </c:pt>
                <c:pt idx="8">
                  <c:v>1.75</c:v>
                </c:pt>
                <c:pt idx="9">
                  <c:v>3</c:v>
                </c:pt>
                <c:pt idx="10">
                  <c:v>2</c:v>
                </c:pt>
                <c:pt idx="16">
                  <c:v>2</c:v>
                </c:pt>
                <c:pt idx="17">
                  <c:v>0.5</c:v>
                </c:pt>
                <c:pt idx="18">
                  <c:v>3.5</c:v>
                </c:pt>
                <c:pt idx="19">
                  <c:v>2</c:v>
                </c:pt>
                <c:pt idx="20">
                  <c:v>3.25</c:v>
                </c:pt>
                <c:pt idx="22">
                  <c:v>2.25</c:v>
                </c:pt>
                <c:pt idx="23">
                  <c:v>1.5</c:v>
                </c:pt>
                <c:pt idx="24">
                  <c:v>2</c:v>
                </c:pt>
                <c:pt idx="25">
                  <c:v>3.5</c:v>
                </c:pt>
                <c:pt idx="27">
                  <c:v>3</c:v>
                </c:pt>
              </c:numCache>
            </c:numRef>
          </c:val>
          <c:smooth val="0"/>
        </c:ser>
        <c:dLbls>
          <c:dLblPos val="ctr"/>
          <c:showLegendKey val="0"/>
          <c:showVal val="1"/>
          <c:showCatName val="0"/>
          <c:showSerName val="0"/>
          <c:showPercent val="0"/>
          <c:showBubbleSize val="0"/>
        </c:dLbls>
        <c:smooth val="0"/>
        <c:axId val="-711032768"/>
        <c:axId val="-711028960"/>
      </c:lineChart>
      <c:dateAx>
        <c:axId val="-71103276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8960"/>
        <c:crosses val="autoZero"/>
        <c:auto val="1"/>
        <c:lblOffset val="100"/>
        <c:baseTimeUnit val="days"/>
      </c:dateAx>
      <c:valAx>
        <c:axId val="-7110289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32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'4.apr'!$A$3:$A$30</c:f>
              <c:numCache>
                <c:formatCode>d\-mmm</c:formatCode>
                <c:ptCount val="28"/>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numCache>
            </c:numRef>
          </c:cat>
          <c:val>
            <c:numRef>
              <c:f>'4.apr'!$B$3:$B$30</c:f>
              <c:numCache>
                <c:formatCode>General</c:formatCode>
                <c:ptCount val="28"/>
                <c:pt idx="0">
                  <c:v>4.5</c:v>
                </c:pt>
                <c:pt idx="3">
                  <c:v>6.5</c:v>
                </c:pt>
                <c:pt idx="4">
                  <c:v>6</c:v>
                </c:pt>
                <c:pt idx="5">
                  <c:v>2</c:v>
                </c:pt>
                <c:pt idx="10">
                  <c:v>2</c:v>
                </c:pt>
                <c:pt idx="11">
                  <c:v>4</c:v>
                </c:pt>
                <c:pt idx="12">
                  <c:v>3.5</c:v>
                </c:pt>
                <c:pt idx="13">
                  <c:v>2</c:v>
                </c:pt>
                <c:pt idx="14">
                  <c:v>0.5</c:v>
                </c:pt>
                <c:pt idx="16">
                  <c:v>2</c:v>
                </c:pt>
                <c:pt idx="17">
                  <c:v>2</c:v>
                </c:pt>
                <c:pt idx="18">
                  <c:v>3</c:v>
                </c:pt>
                <c:pt idx="19">
                  <c:v>3</c:v>
                </c:pt>
                <c:pt idx="20">
                  <c:v>1</c:v>
                </c:pt>
                <c:pt idx="21">
                  <c:v>4.5</c:v>
                </c:pt>
                <c:pt idx="22">
                  <c:v>0</c:v>
                </c:pt>
                <c:pt idx="23">
                  <c:v>3</c:v>
                </c:pt>
                <c:pt idx="25">
                  <c:v>7</c:v>
                </c:pt>
                <c:pt idx="26">
                  <c:v>2.25</c:v>
                </c:pt>
                <c:pt idx="27">
                  <c:v>3.5</c:v>
                </c:pt>
              </c:numCache>
            </c:numRef>
          </c:val>
          <c:smooth val="0"/>
        </c:ser>
        <c:dLbls>
          <c:dLblPos val="ctr"/>
          <c:showLegendKey val="0"/>
          <c:showVal val="1"/>
          <c:showCatName val="0"/>
          <c:showSerName val="0"/>
          <c:showPercent val="0"/>
          <c:showBubbleSize val="0"/>
        </c:dLbls>
        <c:smooth val="0"/>
        <c:axId val="-711022976"/>
        <c:axId val="-711028416"/>
      </c:lineChart>
      <c:dateAx>
        <c:axId val="-711022976"/>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8416"/>
        <c:crosses val="autoZero"/>
        <c:auto val="1"/>
        <c:lblOffset val="100"/>
        <c:baseTimeUnit val="days"/>
      </c:dateAx>
      <c:valAx>
        <c:axId val="-711028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2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'5.may'!$A$3:$A$30</c:f>
              <c:numCache>
                <c:formatCode>d\-mmm</c:formatCode>
                <c:ptCount val="28"/>
                <c:pt idx="0">
                  <c:v>46143</c:v>
                </c:pt>
                <c:pt idx="1">
                  <c:v>46144</c:v>
                </c:pt>
                <c:pt idx="2">
                  <c:v>46145</c:v>
                </c:pt>
                <c:pt idx="3">
                  <c:v>46146</c:v>
                </c:pt>
                <c:pt idx="4">
                  <c:v>46147</c:v>
                </c:pt>
                <c:pt idx="5">
                  <c:v>46148</c:v>
                </c:pt>
                <c:pt idx="6">
                  <c:v>46149</c:v>
                </c:pt>
                <c:pt idx="7">
                  <c:v>46150</c:v>
                </c:pt>
                <c:pt idx="8">
                  <c:v>46151</c:v>
                </c:pt>
                <c:pt idx="9">
                  <c:v>46152</c:v>
                </c:pt>
                <c:pt idx="10">
                  <c:v>46153</c:v>
                </c:pt>
                <c:pt idx="11">
                  <c:v>46154</c:v>
                </c:pt>
                <c:pt idx="12">
                  <c:v>46155</c:v>
                </c:pt>
                <c:pt idx="13">
                  <c:v>46156</c:v>
                </c:pt>
                <c:pt idx="14">
                  <c:v>46157</c:v>
                </c:pt>
                <c:pt idx="15">
                  <c:v>46158</c:v>
                </c:pt>
                <c:pt idx="16">
                  <c:v>46159</c:v>
                </c:pt>
                <c:pt idx="17">
                  <c:v>46160</c:v>
                </c:pt>
                <c:pt idx="18">
                  <c:v>46161</c:v>
                </c:pt>
                <c:pt idx="19">
                  <c:v>46162</c:v>
                </c:pt>
                <c:pt idx="20">
                  <c:v>46163</c:v>
                </c:pt>
                <c:pt idx="21">
                  <c:v>46164</c:v>
                </c:pt>
                <c:pt idx="22">
                  <c:v>46165</c:v>
                </c:pt>
                <c:pt idx="23">
                  <c:v>46166</c:v>
                </c:pt>
                <c:pt idx="24">
                  <c:v>46167</c:v>
                </c:pt>
                <c:pt idx="25">
                  <c:v>46168</c:v>
                </c:pt>
                <c:pt idx="26">
                  <c:v>46169</c:v>
                </c:pt>
                <c:pt idx="27">
                  <c:v>46170</c:v>
                </c:pt>
              </c:numCache>
            </c:numRef>
          </c:cat>
          <c:val>
            <c:numRef>
              <c:f>'5.may'!$B$3:$B$30</c:f>
              <c:numCache>
                <c:formatCode>General</c:formatCode>
                <c:ptCount val="28"/>
                <c:pt idx="0">
                  <c:v>4</c:v>
                </c:pt>
                <c:pt idx="1">
                  <c:v>2</c:v>
                </c:pt>
                <c:pt idx="2">
                  <c:v>4.3</c:v>
                </c:pt>
                <c:pt idx="3">
                  <c:v>1</c:v>
                </c:pt>
                <c:pt idx="9">
                  <c:v>2.25</c:v>
                </c:pt>
                <c:pt idx="11">
                  <c:v>0</c:v>
                </c:pt>
                <c:pt idx="12">
                  <c:v>0</c:v>
                </c:pt>
                <c:pt idx="15">
                  <c:v>3.5</c:v>
                </c:pt>
                <c:pt idx="16">
                  <c:v>1.75</c:v>
                </c:pt>
                <c:pt idx="17">
                  <c:v>2</c:v>
                </c:pt>
                <c:pt idx="18">
                  <c:v>2.25</c:v>
                </c:pt>
                <c:pt idx="19">
                  <c:v>2.5</c:v>
                </c:pt>
                <c:pt idx="20">
                  <c:v>2.5</c:v>
                </c:pt>
                <c:pt idx="21">
                  <c:v>2.2000000000000002</c:v>
                </c:pt>
                <c:pt idx="22">
                  <c:v>3</c:v>
                </c:pt>
                <c:pt idx="23">
                  <c:v>2.75</c:v>
                </c:pt>
                <c:pt idx="24">
                  <c:v>7</c:v>
                </c:pt>
                <c:pt idx="25">
                  <c:v>2</c:v>
                </c:pt>
                <c:pt idx="26">
                  <c:v>1.5</c:v>
                </c:pt>
                <c:pt idx="27">
                  <c:v>3.5</c:v>
                </c:pt>
              </c:numCache>
            </c:numRef>
          </c:val>
          <c:smooth val="0"/>
        </c:ser>
        <c:dLbls>
          <c:dLblPos val="ctr"/>
          <c:showLegendKey val="0"/>
          <c:showVal val="1"/>
          <c:showCatName val="0"/>
          <c:showSerName val="0"/>
          <c:showPercent val="0"/>
          <c:showBubbleSize val="0"/>
        </c:dLbls>
        <c:smooth val="0"/>
        <c:axId val="-711021888"/>
        <c:axId val="-711027872"/>
      </c:lineChart>
      <c:dateAx>
        <c:axId val="-71102188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7872"/>
        <c:crosses val="autoZero"/>
        <c:auto val="1"/>
        <c:lblOffset val="100"/>
        <c:baseTimeUnit val="days"/>
      </c:dateAx>
      <c:valAx>
        <c:axId val="-7110278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'6.june '!$A$3:$A$30</c:f>
              <c:numCache>
                <c:formatCode>d\-mmm</c:formatCode>
                <c:ptCount val="28"/>
                <c:pt idx="0">
                  <c:v>46174</c:v>
                </c:pt>
                <c:pt idx="1">
                  <c:v>46175</c:v>
                </c:pt>
                <c:pt idx="2">
                  <c:v>46176</c:v>
                </c:pt>
                <c:pt idx="3">
                  <c:v>46177</c:v>
                </c:pt>
                <c:pt idx="4">
                  <c:v>46178</c:v>
                </c:pt>
                <c:pt idx="5">
                  <c:v>46179</c:v>
                </c:pt>
                <c:pt idx="6">
                  <c:v>46180</c:v>
                </c:pt>
                <c:pt idx="7">
                  <c:v>46181</c:v>
                </c:pt>
                <c:pt idx="8">
                  <c:v>46182</c:v>
                </c:pt>
                <c:pt idx="9">
                  <c:v>46183</c:v>
                </c:pt>
                <c:pt idx="10">
                  <c:v>46184</c:v>
                </c:pt>
                <c:pt idx="11">
                  <c:v>46185</c:v>
                </c:pt>
                <c:pt idx="12">
                  <c:v>46186</c:v>
                </c:pt>
                <c:pt idx="13">
                  <c:v>46187</c:v>
                </c:pt>
                <c:pt idx="14">
                  <c:v>46188</c:v>
                </c:pt>
                <c:pt idx="15">
                  <c:v>46189</c:v>
                </c:pt>
                <c:pt idx="16">
                  <c:v>46190</c:v>
                </c:pt>
                <c:pt idx="17">
                  <c:v>46191</c:v>
                </c:pt>
                <c:pt idx="18">
                  <c:v>46192</c:v>
                </c:pt>
                <c:pt idx="19">
                  <c:v>46193</c:v>
                </c:pt>
                <c:pt idx="20">
                  <c:v>46194</c:v>
                </c:pt>
                <c:pt idx="21">
                  <c:v>46195</c:v>
                </c:pt>
                <c:pt idx="22">
                  <c:v>46196</c:v>
                </c:pt>
                <c:pt idx="23">
                  <c:v>46197</c:v>
                </c:pt>
                <c:pt idx="24">
                  <c:v>46198</c:v>
                </c:pt>
                <c:pt idx="25">
                  <c:v>46199</c:v>
                </c:pt>
                <c:pt idx="26">
                  <c:v>46200</c:v>
                </c:pt>
                <c:pt idx="27">
                  <c:v>46201</c:v>
                </c:pt>
              </c:numCache>
            </c:numRef>
          </c:cat>
          <c:val>
            <c:numRef>
              <c:f>'6.june '!$B$3:$B$30</c:f>
              <c:numCache>
                <c:formatCode>General</c:formatCode>
                <c:ptCount val="28"/>
                <c:pt idx="0">
                  <c:v>1.75</c:v>
                </c:pt>
                <c:pt idx="1">
                  <c:v>3.5</c:v>
                </c:pt>
                <c:pt idx="2">
                  <c:v>4.75</c:v>
                </c:pt>
                <c:pt idx="3">
                  <c:v>2.75</c:v>
                </c:pt>
                <c:pt idx="4">
                  <c:v>3.5</c:v>
                </c:pt>
                <c:pt idx="5">
                  <c:v>3.2</c:v>
                </c:pt>
                <c:pt idx="6">
                  <c:v>1</c:v>
                </c:pt>
                <c:pt idx="7">
                  <c:v>4.5</c:v>
                </c:pt>
                <c:pt idx="8">
                  <c:v>3</c:v>
                </c:pt>
                <c:pt idx="9">
                  <c:v>1.5</c:v>
                </c:pt>
                <c:pt idx="10">
                  <c:v>3</c:v>
                </c:pt>
                <c:pt idx="11">
                  <c:v>0.25</c:v>
                </c:pt>
                <c:pt idx="12">
                  <c:v>1.25</c:v>
                </c:pt>
                <c:pt idx="13">
                  <c:v>4.75</c:v>
                </c:pt>
                <c:pt idx="14">
                  <c:v>3</c:v>
                </c:pt>
                <c:pt idx="18">
                  <c:v>0.75</c:v>
                </c:pt>
                <c:pt idx="19">
                  <c:v>5.25</c:v>
                </c:pt>
                <c:pt idx="22">
                  <c:v>1.25</c:v>
                </c:pt>
                <c:pt idx="23">
                  <c:v>0</c:v>
                </c:pt>
                <c:pt idx="24">
                  <c:v>1.5</c:v>
                </c:pt>
                <c:pt idx="25">
                  <c:v>3</c:v>
                </c:pt>
              </c:numCache>
            </c:numRef>
          </c:val>
          <c:smooth val="0"/>
        </c:ser>
        <c:dLbls>
          <c:dLblPos val="ctr"/>
          <c:showLegendKey val="0"/>
          <c:showVal val="1"/>
          <c:showCatName val="0"/>
          <c:showSerName val="0"/>
          <c:showPercent val="0"/>
          <c:showBubbleSize val="0"/>
        </c:dLbls>
        <c:smooth val="0"/>
        <c:axId val="-711029504"/>
        <c:axId val="-711034944"/>
      </c:lineChart>
      <c:dateAx>
        <c:axId val="-71102950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34944"/>
        <c:crosses val="autoZero"/>
        <c:auto val="1"/>
        <c:lblOffset val="100"/>
        <c:baseTimeUnit val="days"/>
      </c:dateAx>
      <c:valAx>
        <c:axId val="-7110349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29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'7.july'!$A$3:$A$30</c:f>
              <c:numCache>
                <c:formatCode>d\-mmm</c:formatCode>
                <c:ptCount val="28"/>
                <c:pt idx="0">
                  <c:v>46204</c:v>
                </c:pt>
                <c:pt idx="1">
                  <c:v>46205</c:v>
                </c:pt>
                <c:pt idx="2">
                  <c:v>46206</c:v>
                </c:pt>
                <c:pt idx="3">
                  <c:v>46207</c:v>
                </c:pt>
                <c:pt idx="4">
                  <c:v>46208</c:v>
                </c:pt>
                <c:pt idx="5">
                  <c:v>46209</c:v>
                </c:pt>
                <c:pt idx="6">
                  <c:v>46210</c:v>
                </c:pt>
                <c:pt idx="7">
                  <c:v>46211</c:v>
                </c:pt>
                <c:pt idx="8">
                  <c:v>46212</c:v>
                </c:pt>
                <c:pt idx="9">
                  <c:v>46213</c:v>
                </c:pt>
                <c:pt idx="10">
                  <c:v>46214</c:v>
                </c:pt>
                <c:pt idx="11">
                  <c:v>46215</c:v>
                </c:pt>
                <c:pt idx="12">
                  <c:v>46216</c:v>
                </c:pt>
                <c:pt idx="13">
                  <c:v>46217</c:v>
                </c:pt>
                <c:pt idx="14">
                  <c:v>46218</c:v>
                </c:pt>
                <c:pt idx="15">
                  <c:v>46219</c:v>
                </c:pt>
                <c:pt idx="16">
                  <c:v>46220</c:v>
                </c:pt>
                <c:pt idx="17">
                  <c:v>46221</c:v>
                </c:pt>
                <c:pt idx="18">
                  <c:v>46222</c:v>
                </c:pt>
                <c:pt idx="19">
                  <c:v>46223</c:v>
                </c:pt>
                <c:pt idx="20">
                  <c:v>46224</c:v>
                </c:pt>
                <c:pt idx="21">
                  <c:v>46225</c:v>
                </c:pt>
                <c:pt idx="22">
                  <c:v>46226</c:v>
                </c:pt>
                <c:pt idx="23">
                  <c:v>46227</c:v>
                </c:pt>
                <c:pt idx="24">
                  <c:v>46228</c:v>
                </c:pt>
                <c:pt idx="25">
                  <c:v>46229</c:v>
                </c:pt>
                <c:pt idx="26">
                  <c:v>46230</c:v>
                </c:pt>
                <c:pt idx="27">
                  <c:v>46231</c:v>
                </c:pt>
              </c:numCache>
            </c:numRef>
          </c:cat>
          <c:val>
            <c:numRef>
              <c:f>'7.july'!$B$3:$B$30</c:f>
              <c:numCache>
                <c:formatCode>General</c:formatCode>
                <c:ptCount val="28"/>
                <c:pt idx="0">
                  <c:v>2.25</c:v>
                </c:pt>
                <c:pt idx="1">
                  <c:v>2.5</c:v>
                </c:pt>
                <c:pt idx="5">
                  <c:v>0</c:v>
                </c:pt>
                <c:pt idx="6">
                  <c:v>0</c:v>
                </c:pt>
                <c:pt idx="8">
                  <c:v>1</c:v>
                </c:pt>
                <c:pt idx="9">
                  <c:v>5</c:v>
                </c:pt>
                <c:pt idx="10">
                  <c:v>2</c:v>
                </c:pt>
                <c:pt idx="11">
                  <c:v>3.75</c:v>
                </c:pt>
                <c:pt idx="12">
                  <c:v>1.25</c:v>
                </c:pt>
                <c:pt idx="13">
                  <c:v>1</c:v>
                </c:pt>
                <c:pt idx="14">
                  <c:v>0.5</c:v>
                </c:pt>
                <c:pt idx="15">
                  <c:v>2.5</c:v>
                </c:pt>
                <c:pt idx="16">
                  <c:v>2.5</c:v>
                </c:pt>
                <c:pt idx="17">
                  <c:v>2</c:v>
                </c:pt>
                <c:pt idx="18">
                  <c:v>5</c:v>
                </c:pt>
                <c:pt idx="19">
                  <c:v>0.5</c:v>
                </c:pt>
                <c:pt idx="20">
                  <c:v>1.75</c:v>
                </c:pt>
                <c:pt idx="21">
                  <c:v>2.5</c:v>
                </c:pt>
                <c:pt idx="22">
                  <c:v>1</c:v>
                </c:pt>
                <c:pt idx="23">
                  <c:v>2.5</c:v>
                </c:pt>
                <c:pt idx="24">
                  <c:v>3.5</c:v>
                </c:pt>
                <c:pt idx="26">
                  <c:v>2.75</c:v>
                </c:pt>
                <c:pt idx="27">
                  <c:v>1</c:v>
                </c:pt>
              </c:numCache>
            </c:numRef>
          </c:val>
          <c:smooth val="0"/>
        </c:ser>
        <c:dLbls>
          <c:dLblPos val="ctr"/>
          <c:showLegendKey val="0"/>
          <c:showVal val="1"/>
          <c:showCatName val="0"/>
          <c:showSerName val="0"/>
          <c:showPercent val="0"/>
          <c:showBubbleSize val="0"/>
        </c:dLbls>
        <c:smooth val="0"/>
        <c:axId val="-711031680"/>
        <c:axId val="-672002032"/>
      </c:lineChart>
      <c:dateAx>
        <c:axId val="-711031680"/>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002032"/>
        <c:crosses val="autoZero"/>
        <c:auto val="1"/>
        <c:lblOffset val="100"/>
        <c:baseTimeUnit val="days"/>
      </c:dateAx>
      <c:valAx>
        <c:axId val="-6720020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1031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'8,aug'!$A$3:$A$30</c:f>
              <c:numCache>
                <c:formatCode>d\-mmm</c:formatCode>
                <c:ptCount val="28"/>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numCache>
            </c:numRef>
          </c:cat>
          <c:val>
            <c:numRef>
              <c:f>'8,aug'!$B$3:$B$30</c:f>
              <c:numCache>
                <c:formatCode>General</c:formatCode>
                <c:ptCount val="28"/>
                <c:pt idx="0">
                  <c:v>2</c:v>
                </c:pt>
                <c:pt idx="1">
                  <c:v>0.25</c:v>
                </c:pt>
                <c:pt idx="2">
                  <c:v>2.5</c:v>
                </c:pt>
                <c:pt idx="3">
                  <c:v>1.5</c:v>
                </c:pt>
                <c:pt idx="4">
                  <c:v>3</c:v>
                </c:pt>
                <c:pt idx="5">
                  <c:v>3.75</c:v>
                </c:pt>
                <c:pt idx="7">
                  <c:v>2</c:v>
                </c:pt>
                <c:pt idx="8">
                  <c:v>4</c:v>
                </c:pt>
                <c:pt idx="9">
                  <c:v>5.25</c:v>
                </c:pt>
                <c:pt idx="10">
                  <c:v>0</c:v>
                </c:pt>
                <c:pt idx="11">
                  <c:v>0</c:v>
                </c:pt>
                <c:pt idx="12">
                  <c:v>3.5</c:v>
                </c:pt>
                <c:pt idx="13">
                  <c:v>3.75</c:v>
                </c:pt>
                <c:pt idx="16">
                  <c:v>0</c:v>
                </c:pt>
                <c:pt idx="19">
                  <c:v>3.5</c:v>
                </c:pt>
                <c:pt idx="20">
                  <c:v>1.75</c:v>
                </c:pt>
                <c:pt idx="21">
                  <c:v>2.75</c:v>
                </c:pt>
                <c:pt idx="22">
                  <c:v>2.25</c:v>
                </c:pt>
                <c:pt idx="23">
                  <c:v>2.5</c:v>
                </c:pt>
                <c:pt idx="25">
                  <c:v>4</c:v>
                </c:pt>
                <c:pt idx="26">
                  <c:v>1.25</c:v>
                </c:pt>
                <c:pt idx="27">
                  <c:v>5</c:v>
                </c:pt>
              </c:numCache>
            </c:numRef>
          </c:val>
          <c:smooth val="0"/>
        </c:ser>
        <c:dLbls>
          <c:dLblPos val="ctr"/>
          <c:showLegendKey val="0"/>
          <c:showVal val="1"/>
          <c:showCatName val="0"/>
          <c:showSerName val="0"/>
          <c:showPercent val="0"/>
          <c:showBubbleSize val="0"/>
        </c:dLbls>
        <c:smooth val="0"/>
        <c:axId val="-671992784"/>
        <c:axId val="-671992240"/>
      </c:lineChart>
      <c:dateAx>
        <c:axId val="-67199278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1992240"/>
        <c:crosses val="autoZero"/>
        <c:auto val="1"/>
        <c:lblOffset val="100"/>
        <c:baseTimeUnit val="days"/>
      </c:dateAx>
      <c:valAx>
        <c:axId val="-6719922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1992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'9.sept'!$A$3:$A$30</c:f>
              <c:numCache>
                <c:formatCode>d\-mmm</c:formatCode>
                <c:ptCount val="28"/>
                <c:pt idx="0">
                  <c:v>46266</c:v>
                </c:pt>
                <c:pt idx="1">
                  <c:v>46267</c:v>
                </c:pt>
                <c:pt idx="2">
                  <c:v>46268</c:v>
                </c:pt>
                <c:pt idx="3">
                  <c:v>46269</c:v>
                </c:pt>
                <c:pt idx="4">
                  <c:v>46270</c:v>
                </c:pt>
                <c:pt idx="5">
                  <c:v>46271</c:v>
                </c:pt>
                <c:pt idx="6">
                  <c:v>46272</c:v>
                </c:pt>
                <c:pt idx="7">
                  <c:v>46273</c:v>
                </c:pt>
                <c:pt idx="8">
                  <c:v>46274</c:v>
                </c:pt>
                <c:pt idx="9">
                  <c:v>46275</c:v>
                </c:pt>
                <c:pt idx="10">
                  <c:v>46276</c:v>
                </c:pt>
                <c:pt idx="11">
                  <c:v>46277</c:v>
                </c:pt>
                <c:pt idx="12">
                  <c:v>46278</c:v>
                </c:pt>
                <c:pt idx="13">
                  <c:v>46279</c:v>
                </c:pt>
                <c:pt idx="14">
                  <c:v>46280</c:v>
                </c:pt>
                <c:pt idx="15">
                  <c:v>46281</c:v>
                </c:pt>
                <c:pt idx="16">
                  <c:v>46282</c:v>
                </c:pt>
                <c:pt idx="17">
                  <c:v>46283</c:v>
                </c:pt>
                <c:pt idx="18">
                  <c:v>46284</c:v>
                </c:pt>
                <c:pt idx="19">
                  <c:v>46285</c:v>
                </c:pt>
                <c:pt idx="20">
                  <c:v>46286</c:v>
                </c:pt>
                <c:pt idx="21">
                  <c:v>46287</c:v>
                </c:pt>
                <c:pt idx="22">
                  <c:v>46288</c:v>
                </c:pt>
                <c:pt idx="23">
                  <c:v>46289</c:v>
                </c:pt>
                <c:pt idx="24">
                  <c:v>46290</c:v>
                </c:pt>
                <c:pt idx="25">
                  <c:v>46291</c:v>
                </c:pt>
                <c:pt idx="26">
                  <c:v>46292</c:v>
                </c:pt>
                <c:pt idx="27">
                  <c:v>46293</c:v>
                </c:pt>
              </c:numCache>
            </c:numRef>
          </c:cat>
          <c:val>
            <c:numRef>
              <c:f>'9.sept'!$B$3:$B$30</c:f>
              <c:numCache>
                <c:formatCode>General</c:formatCode>
                <c:ptCount val="28"/>
                <c:pt idx="0">
                  <c:v>3.25</c:v>
                </c:pt>
              </c:numCache>
            </c:numRef>
          </c:val>
          <c:smooth val="0"/>
        </c:ser>
        <c:dLbls>
          <c:dLblPos val="ctr"/>
          <c:showLegendKey val="0"/>
          <c:showVal val="1"/>
          <c:showCatName val="0"/>
          <c:showSerName val="0"/>
          <c:showPercent val="0"/>
          <c:showBubbleSize val="0"/>
        </c:dLbls>
        <c:smooth val="0"/>
        <c:axId val="-672003120"/>
        <c:axId val="-672001488"/>
      </c:lineChart>
      <c:dateAx>
        <c:axId val="-672003120"/>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001488"/>
        <c:crosses val="autoZero"/>
        <c:auto val="1"/>
        <c:lblOffset val="100"/>
        <c:baseTimeUnit val="days"/>
      </c:dateAx>
      <c:valAx>
        <c:axId val="-672001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003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13</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514349</xdr:colOff>
      <xdr:row>32</xdr:row>
      <xdr:rowOff>157162</xdr:rowOff>
    </xdr:from>
    <xdr:to>
      <xdr:col>13</xdr:col>
      <xdr:colOff>114299</xdr:colOff>
      <xdr:row>47</xdr:row>
      <xdr:rowOff>4762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514349</xdr:colOff>
      <xdr:row>34</xdr:row>
      <xdr:rowOff>157162</xdr:rowOff>
    </xdr:from>
    <xdr:to>
      <xdr:col>13</xdr:col>
      <xdr:colOff>114299</xdr:colOff>
      <xdr:row>49</xdr:row>
      <xdr:rowOff>4762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3" name="Table3" displayName="Table3" ref="L3:L23" totalsRowShown="0" headerRowDxfId="57" tableBorderDxfId="56" dataCellStyle="Style 2">
  <autoFilter ref="L3:L23"/>
  <tableColumns count="1">
    <tableColumn id="1" name="Total wastage" dataCellStyle="Style 2"/>
  </tableColumns>
  <tableStyleInfo name="TableStyleMedium28" showFirstColumn="0" showLastColumn="0" showRowStripes="1" showColumnStripes="0"/>
</table>
</file>

<file path=xl/tables/table2.xml><?xml version="1.0" encoding="utf-8"?>
<table xmlns="http://schemas.openxmlformats.org/spreadsheetml/2006/main" id="1" name="Table32" displayName="Table32" ref="L3:L23" totalsRowShown="0" headerRowDxfId="52" tableBorderDxfId="51" dataCellStyle="Style 2">
  <autoFilter ref="L3:L23"/>
  <tableColumns count="1">
    <tableColumn id="1" name="Total wastage" dataCellStyle="Style 2"/>
  </tableColumns>
  <tableStyleInfo name="TableStyleMedium28" showFirstColumn="0" showLastColumn="0" showRowStripes="1" showColumnStripes="0"/>
</table>
</file>

<file path=xl/tables/table3.xml><?xml version="1.0" encoding="utf-8"?>
<table xmlns="http://schemas.openxmlformats.org/spreadsheetml/2006/main" id="2" name="Table323" displayName="Table323" ref="L3:L23" totalsRowShown="0" headerRowDxfId="47" dataDxfId="46" tableBorderDxfId="45" dataCellStyle="yel-org">
  <autoFilter ref="L3:L23"/>
  <tableColumns count="1">
    <tableColumn id="1" name="Total wastage" dataDxfId="44" dataCellStyle="yel-org"/>
  </tableColumns>
  <tableStyleInfo name="TableStyleMedium28" showFirstColumn="0" showLastColumn="0" showRowStripes="1" showColumnStripes="0"/>
</table>
</file>

<file path=xl/tables/table4.xml><?xml version="1.0" encoding="utf-8"?>
<table xmlns="http://schemas.openxmlformats.org/spreadsheetml/2006/main" id="4" name="Table323135" displayName="Table323135" ref="L3:L24" totalsRowShown="0" headerRowDxfId="38" dataDxfId="37" tableBorderDxfId="36" dataCellStyle="yel-org">
  <autoFilter ref="L3:L24"/>
  <tableColumns count="1">
    <tableColumn id="1" name="Total wastage" dataDxfId="35" dataCellStyle="yel-org"/>
  </tableColumns>
  <tableStyleInfo name="TableStyleMedium28" showFirstColumn="0" showLastColumn="0" showRowStripes="1" showColumnStripes="0"/>
</table>
</file>

<file path=xl/tables/table5.xml><?xml version="1.0" encoding="utf-8"?>
<table xmlns="http://schemas.openxmlformats.org/spreadsheetml/2006/main" id="6" name="Table323137" displayName="Table323137" ref="L3:L25" totalsRowShown="0" headerRowDxfId="29" dataDxfId="28" tableBorderDxfId="27" dataCellStyle="pink">
  <autoFilter ref="L3:L25"/>
  <tableColumns count="1">
    <tableColumn id="1" name="Total wastage" dataDxfId="26" dataCellStyle="pink"/>
  </tableColumns>
  <tableStyleInfo name="TableStyleMedium28" showFirstColumn="0" showLastColumn="0" showRowStripes="1" showColumnStripes="0"/>
</table>
</file>

<file path=xl/tables/table6.xml><?xml version="1.0" encoding="utf-8"?>
<table xmlns="http://schemas.openxmlformats.org/spreadsheetml/2006/main" id="12" name="Table32313" displayName="Table32313" ref="L3:L25" totalsRowShown="0" headerRowDxfId="20" tableBorderDxfId="19" dataCellStyle="oran">
  <autoFilter ref="L3:L25"/>
  <tableColumns count="1">
    <tableColumn id="1" name="Total wastage" dataCellStyle="oran"/>
  </tableColumns>
  <tableStyleInfo name="TableStyleMedium28" showFirstColumn="0" showLastColumn="0" showRowStripes="1" showColumnStripes="0"/>
</table>
</file>

<file path=xl/tables/table7.xml><?xml version="1.0" encoding="utf-8"?>
<table xmlns="http://schemas.openxmlformats.org/spreadsheetml/2006/main" id="5" name="Table323136" displayName="Table323136" ref="L3:L25" totalsRowShown="0" headerRowDxfId="13" tableBorderDxfId="12" dataCellStyle="cem2">
  <autoFilter ref="L3:L25"/>
  <tableColumns count="1">
    <tableColumn id="1" name="Total wastage" dataCellStyle="cem2"/>
  </tableColumns>
  <tableStyleInfo name="TableStyleMedium28" showFirstColumn="0" showLastColumn="0" showRowStripes="1" showColumnStripes="0"/>
</table>
</file>

<file path=xl/tables/table8.xml><?xml version="1.0" encoding="utf-8"?>
<table xmlns="http://schemas.openxmlformats.org/spreadsheetml/2006/main" id="7" name="Table3231368" displayName="Table3231368" ref="L3:L25" totalsRowShown="0" headerRowDxfId="11" tableBorderDxfId="10">
  <autoFilter ref="L3:L25"/>
  <tableColumns count="1">
    <tableColumn id="1" name="Total wastage"/>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KSLeXFe28L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50"/>
  <sheetViews>
    <sheetView workbookViewId="0">
      <selection activeCell="B9" sqref="B9:J9"/>
    </sheetView>
  </sheetViews>
  <sheetFormatPr defaultRowHeight="15" x14ac:dyDescent="0.25"/>
  <cols>
    <col min="7" max="7" width="25.140625" customWidth="1"/>
    <col min="10" max="10" width="85.28515625" customWidth="1"/>
    <col min="19" max="19" width="4.85546875" customWidth="1"/>
    <col min="20" max="20" width="8.28515625" hidden="1" customWidth="1"/>
    <col min="21" max="21" width="9.140625" hidden="1" customWidth="1"/>
    <col min="22" max="22" width="4.5703125" customWidth="1"/>
  </cols>
  <sheetData>
    <row r="1" spans="2:21" ht="16.5" x14ac:dyDescent="0.3">
      <c r="B1" s="224" t="s">
        <v>4</v>
      </c>
      <c r="C1" s="224"/>
      <c r="D1" s="224"/>
      <c r="E1" s="224"/>
      <c r="F1" s="224"/>
      <c r="G1" s="224"/>
      <c r="H1" s="224"/>
      <c r="I1" s="224"/>
      <c r="J1" s="224"/>
      <c r="L1" s="250" t="s">
        <v>5</v>
      </c>
      <c r="M1" s="250"/>
      <c r="N1" s="250"/>
      <c r="O1" s="250"/>
      <c r="P1" s="250"/>
      <c r="Q1" s="250"/>
      <c r="R1" s="250"/>
      <c r="S1" s="250"/>
      <c r="T1" s="250"/>
      <c r="U1" s="250"/>
    </row>
    <row r="2" spans="2:21" ht="16.5" x14ac:dyDescent="0.25">
      <c r="B2" s="219" t="s">
        <v>530</v>
      </c>
      <c r="C2" s="219"/>
      <c r="D2" s="219"/>
      <c r="E2" s="219"/>
      <c r="F2" s="219"/>
      <c r="G2" s="219"/>
      <c r="H2" s="219"/>
      <c r="I2" s="219"/>
      <c r="J2" s="219"/>
      <c r="L2" s="254" t="s">
        <v>36</v>
      </c>
      <c r="M2" s="255"/>
      <c r="N2" s="255"/>
      <c r="O2" s="255"/>
      <c r="P2" s="255"/>
      <c r="Q2" s="255"/>
      <c r="R2" s="255"/>
      <c r="S2" s="255"/>
      <c r="T2" s="255"/>
      <c r="U2" s="255"/>
    </row>
    <row r="3" spans="2:21" x14ac:dyDescent="0.25">
      <c r="B3" s="226" t="s">
        <v>10</v>
      </c>
      <c r="C3" s="226"/>
      <c r="D3" s="226"/>
      <c r="E3" s="226"/>
      <c r="F3" s="226"/>
      <c r="G3" s="226"/>
      <c r="H3" s="226"/>
      <c r="I3" s="226"/>
      <c r="J3" s="226"/>
      <c r="K3" s="41"/>
      <c r="L3" s="256" t="s">
        <v>37</v>
      </c>
      <c r="M3" s="256"/>
      <c r="N3" s="256"/>
      <c r="O3" s="256"/>
      <c r="P3" s="256"/>
      <c r="Q3" s="256"/>
      <c r="R3" s="256"/>
      <c r="S3" s="256"/>
      <c r="T3" s="256"/>
      <c r="U3" s="256"/>
    </row>
    <row r="4" spans="2:21" ht="15" customHeight="1" x14ac:dyDescent="0.25">
      <c r="B4" s="221" t="s">
        <v>386</v>
      </c>
      <c r="C4" s="221"/>
      <c r="D4" s="221"/>
      <c r="E4" s="221"/>
      <c r="F4" s="221"/>
      <c r="G4" s="221"/>
      <c r="H4" s="221"/>
      <c r="I4" s="221"/>
      <c r="J4" s="221"/>
      <c r="K4" s="41"/>
      <c r="L4" s="256"/>
      <c r="M4" s="256"/>
      <c r="N4" s="256"/>
      <c r="O4" s="256"/>
      <c r="P4" s="256"/>
      <c r="Q4" s="256"/>
      <c r="R4" s="256"/>
      <c r="S4" s="256"/>
      <c r="T4" s="256"/>
      <c r="U4" s="256"/>
    </row>
    <row r="5" spans="2:21" ht="15" customHeight="1" x14ac:dyDescent="0.25">
      <c r="B5" s="221"/>
      <c r="C5" s="221"/>
      <c r="D5" s="221"/>
      <c r="E5" s="221"/>
      <c r="F5" s="221"/>
      <c r="G5" s="221"/>
      <c r="H5" s="221"/>
      <c r="I5" s="221"/>
      <c r="J5" s="221"/>
      <c r="K5" s="41"/>
      <c r="L5" s="224" t="s">
        <v>25</v>
      </c>
      <c r="M5" s="224"/>
      <c r="N5" s="224"/>
      <c r="O5" s="224"/>
      <c r="P5" s="224"/>
      <c r="Q5" s="224"/>
      <c r="R5" s="224"/>
      <c r="S5" s="224"/>
      <c r="T5" s="224"/>
      <c r="U5" s="224"/>
    </row>
    <row r="6" spans="2:21" ht="35.25" customHeight="1" x14ac:dyDescent="0.25">
      <c r="B6" s="221"/>
      <c r="C6" s="221"/>
      <c r="D6" s="221"/>
      <c r="E6" s="221"/>
      <c r="F6" s="221"/>
      <c r="G6" s="221"/>
      <c r="H6" s="221"/>
      <c r="I6" s="221"/>
      <c r="J6" s="221"/>
      <c r="K6" s="41"/>
      <c r="L6" s="251" t="s">
        <v>105</v>
      </c>
      <c r="M6" s="251"/>
      <c r="N6" s="251"/>
      <c r="O6" s="251"/>
      <c r="P6" s="251"/>
      <c r="Q6" s="251"/>
      <c r="R6" s="251"/>
      <c r="S6" s="251"/>
      <c r="T6" s="251"/>
      <c r="U6" s="251"/>
    </row>
    <row r="7" spans="2:21" ht="15.75" thickBot="1" x14ac:dyDescent="0.3">
      <c r="B7" s="259" t="s">
        <v>97</v>
      </c>
      <c r="C7" s="259"/>
      <c r="D7" s="259"/>
      <c r="E7" s="259"/>
      <c r="F7" s="259"/>
      <c r="G7" s="259"/>
      <c r="H7" s="259"/>
      <c r="I7" s="259"/>
      <c r="J7" s="259"/>
      <c r="K7" s="259"/>
      <c r="L7" s="252" t="s">
        <v>310</v>
      </c>
      <c r="M7" s="252"/>
      <c r="N7" s="252"/>
      <c r="O7" s="252"/>
      <c r="P7" s="252"/>
      <c r="Q7" s="252"/>
      <c r="R7" s="252"/>
      <c r="S7" s="252"/>
      <c r="T7" s="252"/>
      <c r="U7" s="252"/>
    </row>
    <row r="8" spans="2:21" ht="88.5" customHeight="1" thickTop="1" thickBot="1" x14ac:dyDescent="0.35">
      <c r="B8" s="222" t="s">
        <v>396</v>
      </c>
      <c r="C8" s="222"/>
      <c r="D8" s="222"/>
      <c r="E8" s="222"/>
      <c r="F8" s="222"/>
      <c r="G8" s="222"/>
      <c r="H8" s="222"/>
      <c r="I8" s="222"/>
      <c r="J8" s="222"/>
      <c r="L8" s="253" t="s">
        <v>86</v>
      </c>
      <c r="M8" s="253"/>
      <c r="N8" s="253"/>
      <c r="O8" s="253"/>
      <c r="P8" s="253"/>
      <c r="Q8" s="253"/>
      <c r="R8" s="253"/>
      <c r="S8" s="253"/>
      <c r="T8" s="253"/>
      <c r="U8" s="253"/>
    </row>
    <row r="9" spans="2:21" ht="15.75" thickTop="1" x14ac:dyDescent="0.25">
      <c r="B9" s="223" t="s">
        <v>529</v>
      </c>
      <c r="C9" s="223"/>
      <c r="D9" s="223"/>
      <c r="E9" s="223"/>
      <c r="F9" s="223"/>
      <c r="G9" s="223"/>
      <c r="H9" s="223"/>
      <c r="I9" s="223"/>
      <c r="J9" s="223"/>
      <c r="L9" s="224"/>
      <c r="M9" s="224"/>
      <c r="N9" s="224"/>
      <c r="O9" s="224"/>
      <c r="P9" s="224"/>
      <c r="Q9" s="224"/>
      <c r="R9" s="224"/>
      <c r="S9" s="224"/>
      <c r="T9" s="224"/>
      <c r="U9" s="224"/>
    </row>
    <row r="10" spans="2:21" x14ac:dyDescent="0.25">
      <c r="B10" s="227" t="s">
        <v>44</v>
      </c>
      <c r="C10" s="228"/>
      <c r="D10" s="228"/>
      <c r="E10" s="228"/>
      <c r="F10" s="228"/>
      <c r="G10" s="228"/>
      <c r="H10" s="228"/>
      <c r="I10" s="228"/>
      <c r="J10" s="228"/>
      <c r="L10" s="224" t="s">
        <v>6</v>
      </c>
      <c r="M10" s="224"/>
      <c r="N10" s="224"/>
      <c r="O10" s="224"/>
      <c r="P10" s="224"/>
      <c r="Q10" s="224"/>
      <c r="R10" s="224"/>
      <c r="S10" s="224"/>
      <c r="T10" s="224"/>
      <c r="U10" s="224"/>
    </row>
    <row r="11" spans="2:21" x14ac:dyDescent="0.25">
      <c r="B11" s="228"/>
      <c r="C11" s="228"/>
      <c r="D11" s="228"/>
      <c r="E11" s="228"/>
      <c r="F11" s="228"/>
      <c r="G11" s="228"/>
      <c r="H11" s="228"/>
      <c r="I11" s="228"/>
      <c r="J11" s="228"/>
      <c r="L11" s="224"/>
      <c r="M11" s="224"/>
      <c r="N11" s="224"/>
      <c r="O11" s="224"/>
      <c r="P11" s="224"/>
      <c r="Q11" s="224"/>
      <c r="R11" s="224"/>
      <c r="S11" s="224"/>
      <c r="T11" s="224"/>
      <c r="U11" s="224"/>
    </row>
    <row r="12" spans="2:21" ht="15" customHeight="1" x14ac:dyDescent="0.25">
      <c r="B12" s="229" t="s">
        <v>263</v>
      </c>
      <c r="C12" s="229"/>
      <c r="D12" s="229"/>
      <c r="E12" s="229"/>
      <c r="F12" s="229"/>
      <c r="G12" s="229"/>
      <c r="H12" s="229"/>
      <c r="I12" s="229"/>
      <c r="J12" s="229"/>
      <c r="L12" s="260" t="s">
        <v>35</v>
      </c>
      <c r="M12" s="260"/>
      <c r="N12" s="260"/>
      <c r="O12" s="260"/>
      <c r="P12" s="260"/>
      <c r="Q12" s="260"/>
      <c r="R12" s="260"/>
      <c r="S12" s="260"/>
      <c r="T12" s="260"/>
      <c r="U12" s="260"/>
    </row>
    <row r="13" spans="2:21" ht="16.5" x14ac:dyDescent="0.3">
      <c r="B13" s="230"/>
      <c r="C13" s="230"/>
      <c r="D13" s="230"/>
      <c r="E13" s="230"/>
      <c r="F13" s="230"/>
      <c r="G13" s="230"/>
      <c r="H13" s="230"/>
      <c r="I13" s="230"/>
      <c r="J13" s="230"/>
      <c r="L13" s="260"/>
      <c r="M13" s="260"/>
      <c r="N13" s="260"/>
      <c r="O13" s="260"/>
      <c r="P13" s="260"/>
      <c r="Q13" s="260"/>
      <c r="R13" s="260"/>
      <c r="S13" s="260"/>
      <c r="T13" s="260"/>
      <c r="U13" s="260"/>
    </row>
    <row r="14" spans="2:21" ht="16.5" x14ac:dyDescent="0.3">
      <c r="B14" s="231" t="s">
        <v>395</v>
      </c>
      <c r="C14" s="231"/>
      <c r="D14" s="231"/>
      <c r="E14" s="231"/>
      <c r="F14" s="231"/>
      <c r="G14" s="231"/>
      <c r="H14" s="231"/>
      <c r="I14" s="231"/>
      <c r="J14" s="231"/>
      <c r="L14" s="260"/>
      <c r="M14" s="260"/>
      <c r="N14" s="260"/>
      <c r="O14" s="260"/>
      <c r="P14" s="260"/>
      <c r="Q14" s="260"/>
      <c r="R14" s="260"/>
      <c r="S14" s="260"/>
      <c r="T14" s="260"/>
      <c r="U14" s="260"/>
    </row>
    <row r="15" spans="2:21" ht="18" x14ac:dyDescent="0.25">
      <c r="B15" s="232" t="s">
        <v>98</v>
      </c>
      <c r="C15" s="232"/>
      <c r="D15" s="232"/>
      <c r="E15" s="232"/>
      <c r="F15" s="232"/>
      <c r="G15" s="232"/>
      <c r="H15" s="232"/>
      <c r="I15" s="232"/>
      <c r="J15" s="232"/>
      <c r="L15" s="260"/>
      <c r="M15" s="260"/>
      <c r="N15" s="260"/>
      <c r="O15" s="260"/>
      <c r="P15" s="260"/>
      <c r="Q15" s="260"/>
      <c r="R15" s="260"/>
      <c r="S15" s="260"/>
      <c r="T15" s="260"/>
      <c r="U15" s="260"/>
    </row>
    <row r="16" spans="2:21" ht="18" x14ac:dyDescent="0.25">
      <c r="B16" s="232" t="s">
        <v>27</v>
      </c>
      <c r="C16" s="232"/>
      <c r="D16" s="232"/>
      <c r="E16" s="232"/>
      <c r="F16" s="232"/>
      <c r="G16" s="232"/>
      <c r="H16" s="232"/>
      <c r="I16" s="232"/>
      <c r="J16" s="232"/>
      <c r="L16" s="260"/>
      <c r="M16" s="260"/>
      <c r="N16" s="260"/>
      <c r="O16" s="260"/>
      <c r="P16" s="260"/>
      <c r="Q16" s="260"/>
      <c r="R16" s="260"/>
      <c r="S16" s="260"/>
      <c r="T16" s="260"/>
      <c r="U16" s="260"/>
    </row>
    <row r="17" spans="2:21" x14ac:dyDescent="0.25">
      <c r="B17" s="224" t="s">
        <v>51</v>
      </c>
      <c r="C17" s="224"/>
      <c r="D17" s="224"/>
      <c r="E17" s="224"/>
      <c r="F17" s="224"/>
      <c r="G17" s="224"/>
      <c r="H17" s="224"/>
      <c r="I17" s="224"/>
      <c r="J17" s="224"/>
      <c r="L17" s="260"/>
      <c r="M17" s="260"/>
      <c r="N17" s="260"/>
      <c r="O17" s="260"/>
      <c r="P17" s="260"/>
      <c r="Q17" s="260"/>
      <c r="R17" s="260"/>
      <c r="S17" s="260"/>
      <c r="T17" s="260"/>
      <c r="U17" s="260"/>
    </row>
    <row r="18" spans="2:21" x14ac:dyDescent="0.25">
      <c r="B18" s="225" t="s">
        <v>52</v>
      </c>
      <c r="C18" s="225"/>
      <c r="D18" s="225"/>
      <c r="E18" s="225"/>
      <c r="F18" s="225"/>
      <c r="G18" s="225"/>
      <c r="H18" s="225"/>
      <c r="I18" s="225"/>
      <c r="J18" s="225"/>
      <c r="L18" s="260"/>
      <c r="M18" s="260"/>
      <c r="N18" s="260"/>
      <c r="O18" s="260"/>
      <c r="P18" s="260"/>
      <c r="Q18" s="260"/>
      <c r="R18" s="260"/>
      <c r="S18" s="260"/>
      <c r="T18" s="260"/>
      <c r="U18" s="260"/>
    </row>
    <row r="19" spans="2:21" x14ac:dyDescent="0.25">
      <c r="B19" s="225" t="s">
        <v>64</v>
      </c>
      <c r="C19" s="225"/>
      <c r="D19" s="225"/>
      <c r="E19" s="225"/>
      <c r="F19" s="225"/>
      <c r="G19" s="225"/>
      <c r="H19" s="225"/>
      <c r="I19" s="225"/>
      <c r="J19" s="225"/>
      <c r="L19" s="260"/>
      <c r="M19" s="260"/>
      <c r="N19" s="260"/>
      <c r="O19" s="260"/>
      <c r="P19" s="260"/>
      <c r="Q19" s="260"/>
      <c r="R19" s="260"/>
      <c r="S19" s="260"/>
      <c r="T19" s="260"/>
      <c r="U19" s="260"/>
    </row>
    <row r="20" spans="2:21" ht="15" customHeight="1" x14ac:dyDescent="0.25">
      <c r="B20" s="224" t="s">
        <v>23</v>
      </c>
      <c r="C20" s="224"/>
      <c r="D20" s="224"/>
      <c r="E20" s="224"/>
      <c r="F20" s="224"/>
      <c r="G20" s="224"/>
      <c r="H20" s="224"/>
      <c r="I20" s="224"/>
      <c r="J20" s="224"/>
      <c r="L20" s="224"/>
      <c r="M20" s="224"/>
      <c r="N20" s="224"/>
      <c r="O20" s="224"/>
      <c r="P20" s="224"/>
      <c r="Q20" s="224"/>
      <c r="R20" s="224"/>
      <c r="S20" s="224"/>
      <c r="T20" s="224"/>
      <c r="U20" s="224"/>
    </row>
    <row r="21" spans="2:21" x14ac:dyDescent="0.25">
      <c r="L21" s="224"/>
      <c r="M21" s="224"/>
      <c r="N21" s="224"/>
      <c r="O21" s="224"/>
      <c r="P21" s="224"/>
      <c r="Q21" s="224"/>
      <c r="R21" s="224"/>
      <c r="S21" s="224"/>
      <c r="T21" s="224"/>
      <c r="U21" s="224"/>
    </row>
    <row r="22" spans="2:21" ht="15" customHeight="1" x14ac:dyDescent="0.25">
      <c r="B22" s="220" t="s">
        <v>60</v>
      </c>
      <c r="C22" s="220"/>
      <c r="D22" s="220"/>
      <c r="E22" s="220"/>
      <c r="F22" s="220"/>
      <c r="G22" s="220"/>
      <c r="H22" s="220"/>
      <c r="I22" s="220"/>
      <c r="J22" s="220"/>
      <c r="L22" s="257" t="s">
        <v>38</v>
      </c>
      <c r="M22" s="257"/>
      <c r="N22" s="257"/>
      <c r="O22" s="257"/>
      <c r="P22" s="257"/>
      <c r="Q22" s="257"/>
      <c r="R22" s="257"/>
      <c r="S22" s="257"/>
      <c r="T22" s="257"/>
      <c r="U22" s="257"/>
    </row>
    <row r="23" spans="2:21" x14ac:dyDescent="0.25">
      <c r="B23" s="224" t="s">
        <v>39</v>
      </c>
      <c r="C23" s="224"/>
      <c r="D23" s="224"/>
      <c r="E23" s="224"/>
      <c r="F23" s="224"/>
      <c r="G23" s="224"/>
      <c r="H23" s="224"/>
      <c r="I23" s="224"/>
      <c r="J23" s="224"/>
      <c r="L23" s="257"/>
      <c r="M23" s="257"/>
      <c r="N23" s="257"/>
      <c r="O23" s="257"/>
      <c r="P23" s="257"/>
      <c r="Q23" s="257"/>
      <c r="R23" s="257"/>
      <c r="S23" s="257"/>
      <c r="T23" s="257"/>
      <c r="U23" s="257"/>
    </row>
    <row r="24" spans="2:21" ht="30" customHeight="1" x14ac:dyDescent="0.25">
      <c r="B24" s="244" t="s">
        <v>228</v>
      </c>
      <c r="C24" s="245"/>
      <c r="D24" s="245"/>
      <c r="E24" s="245"/>
      <c r="F24" s="245"/>
      <c r="G24" s="245"/>
      <c r="H24" s="245"/>
      <c r="I24" s="245"/>
      <c r="J24" s="246"/>
      <c r="L24" s="257"/>
      <c r="M24" s="257"/>
      <c r="N24" s="257"/>
      <c r="O24" s="257"/>
      <c r="P24" s="257"/>
      <c r="Q24" s="257"/>
      <c r="R24" s="257"/>
      <c r="S24" s="257"/>
      <c r="T24" s="257"/>
      <c r="U24" s="257"/>
    </row>
    <row r="25" spans="2:21" ht="15.75" customHeight="1" x14ac:dyDescent="0.25">
      <c r="B25" s="247"/>
      <c r="C25" s="248"/>
      <c r="D25" s="248"/>
      <c r="E25" s="248"/>
      <c r="F25" s="248"/>
      <c r="G25" s="248"/>
      <c r="H25" s="248"/>
      <c r="I25" s="248"/>
      <c r="J25" s="249"/>
      <c r="L25" s="257"/>
      <c r="M25" s="257"/>
      <c r="N25" s="257"/>
      <c r="O25" s="257"/>
      <c r="P25" s="257"/>
      <c r="Q25" s="257"/>
      <c r="R25" s="257"/>
      <c r="S25" s="257"/>
      <c r="T25" s="257"/>
      <c r="U25" s="257"/>
    </row>
    <row r="26" spans="2:21" ht="15.75" x14ac:dyDescent="0.25">
      <c r="B26" s="236" t="s">
        <v>61</v>
      </c>
      <c r="C26" s="237"/>
      <c r="D26" s="237"/>
      <c r="E26" s="237"/>
      <c r="F26" s="237"/>
      <c r="G26" s="237"/>
      <c r="H26" s="237"/>
      <c r="I26" s="237"/>
      <c r="J26" s="238"/>
      <c r="L26" s="257"/>
      <c r="M26" s="257"/>
      <c r="N26" s="257"/>
      <c r="O26" s="257"/>
      <c r="P26" s="257"/>
      <c r="Q26" s="257"/>
      <c r="R26" s="257"/>
      <c r="S26" s="257"/>
      <c r="T26" s="257"/>
      <c r="U26" s="257"/>
    </row>
    <row r="27" spans="2:21" x14ac:dyDescent="0.25">
      <c r="B27" s="239" t="s">
        <v>69</v>
      </c>
      <c r="C27" s="240"/>
      <c r="D27" s="240"/>
      <c r="E27" s="240"/>
      <c r="F27" s="240"/>
      <c r="G27" s="240"/>
      <c r="H27" s="240"/>
      <c r="I27" s="240"/>
      <c r="J27" s="241"/>
      <c r="L27" s="257"/>
      <c r="M27" s="257"/>
      <c r="N27" s="257"/>
      <c r="O27" s="257"/>
      <c r="P27" s="257"/>
      <c r="Q27" s="257"/>
      <c r="R27" s="257"/>
      <c r="S27" s="257"/>
      <c r="T27" s="257"/>
      <c r="U27" s="257"/>
    </row>
    <row r="28" spans="2:21" x14ac:dyDescent="0.25">
      <c r="B28" s="242" t="s">
        <v>185</v>
      </c>
      <c r="C28" s="242"/>
      <c r="D28" s="242"/>
      <c r="E28" s="242"/>
      <c r="F28" s="242"/>
      <c r="G28" s="242"/>
      <c r="H28" s="242"/>
      <c r="I28" s="242"/>
      <c r="J28" s="242"/>
      <c r="L28" s="257"/>
      <c r="M28" s="257"/>
      <c r="N28" s="257"/>
      <c r="O28" s="257"/>
      <c r="P28" s="257"/>
      <c r="Q28" s="257"/>
      <c r="R28" s="257"/>
      <c r="S28" s="257"/>
      <c r="T28" s="257"/>
      <c r="U28" s="257"/>
    </row>
    <row r="29" spans="2:21" ht="16.5" x14ac:dyDescent="0.25">
      <c r="B29" s="243" t="s">
        <v>304</v>
      </c>
      <c r="C29" s="243"/>
      <c r="D29" s="243"/>
      <c r="E29" s="243"/>
      <c r="F29" s="243"/>
      <c r="G29" s="243"/>
      <c r="H29" s="243"/>
      <c r="I29" s="243"/>
      <c r="J29" s="243"/>
      <c r="L29" s="257"/>
      <c r="M29" s="257"/>
      <c r="N29" s="257"/>
      <c r="O29" s="257"/>
      <c r="P29" s="257"/>
      <c r="Q29" s="257"/>
      <c r="R29" s="257"/>
      <c r="S29" s="257"/>
      <c r="T29" s="257"/>
      <c r="U29" s="257"/>
    </row>
    <row r="30" spans="2:21" x14ac:dyDescent="0.25">
      <c r="B30" s="224" t="s">
        <v>314</v>
      </c>
      <c r="C30" s="224"/>
      <c r="D30" s="224"/>
      <c r="E30" s="224"/>
      <c r="F30" s="224"/>
      <c r="G30" s="224"/>
      <c r="H30" s="224"/>
      <c r="I30" s="224"/>
      <c r="J30" s="224"/>
      <c r="L30" s="257"/>
      <c r="M30" s="257"/>
      <c r="N30" s="257"/>
      <c r="O30" s="257"/>
      <c r="P30" s="257"/>
      <c r="Q30" s="257"/>
      <c r="R30" s="257"/>
      <c r="S30" s="257"/>
      <c r="T30" s="257"/>
      <c r="U30" s="257"/>
    </row>
    <row r="31" spans="2:21" x14ac:dyDescent="0.25">
      <c r="B31" s="224" t="s">
        <v>53</v>
      </c>
      <c r="C31" s="224"/>
      <c r="D31" s="224"/>
      <c r="E31" s="224"/>
      <c r="F31" s="224"/>
      <c r="G31" s="224"/>
      <c r="H31" s="224"/>
      <c r="I31" s="224"/>
      <c r="J31" s="224"/>
      <c r="L31" s="257"/>
      <c r="M31" s="257"/>
      <c r="N31" s="257"/>
      <c r="O31" s="257"/>
      <c r="P31" s="257"/>
      <c r="Q31" s="257"/>
      <c r="R31" s="257"/>
      <c r="S31" s="257"/>
      <c r="T31" s="257"/>
      <c r="U31" s="257"/>
    </row>
    <row r="32" spans="2:21" x14ac:dyDescent="0.25">
      <c r="B32" s="224" t="s">
        <v>72</v>
      </c>
      <c r="C32" s="224"/>
      <c r="D32" s="224"/>
      <c r="E32" s="224"/>
      <c r="F32" s="224"/>
      <c r="G32" s="224"/>
      <c r="H32" s="224"/>
      <c r="I32" s="224"/>
      <c r="J32" s="224"/>
      <c r="L32" s="257"/>
      <c r="M32" s="257"/>
      <c r="N32" s="257"/>
      <c r="O32" s="257"/>
      <c r="P32" s="257"/>
      <c r="Q32" s="257"/>
      <c r="R32" s="257"/>
      <c r="S32" s="257"/>
      <c r="T32" s="257"/>
      <c r="U32" s="257"/>
    </row>
    <row r="34" spans="3:21" x14ac:dyDescent="0.25">
      <c r="C34" s="235" t="s">
        <v>32</v>
      </c>
      <c r="D34" s="235"/>
      <c r="E34" s="25"/>
      <c r="G34" s="78" t="s">
        <v>65</v>
      </c>
    </row>
    <row r="35" spans="3:21" x14ac:dyDescent="0.25">
      <c r="C35" s="235" t="s">
        <v>28</v>
      </c>
      <c r="D35" s="235"/>
      <c r="E35" s="25"/>
      <c r="G35" s="78" t="s">
        <v>66</v>
      </c>
    </row>
    <row r="36" spans="3:21" x14ac:dyDescent="0.25">
      <c r="C36" s="235" t="s">
        <v>29</v>
      </c>
      <c r="D36" s="235"/>
      <c r="E36" s="25"/>
      <c r="G36" s="78" t="s">
        <v>67</v>
      </c>
    </row>
    <row r="37" spans="3:21" x14ac:dyDescent="0.25">
      <c r="C37" s="235" t="s">
        <v>30</v>
      </c>
      <c r="D37" s="235"/>
      <c r="E37" s="25"/>
      <c r="G37" s="78" t="s">
        <v>68</v>
      </c>
      <c r="L37" s="224" t="s">
        <v>7</v>
      </c>
      <c r="M37" s="224"/>
      <c r="N37" s="224"/>
      <c r="O37" s="224"/>
      <c r="P37" s="224"/>
      <c r="Q37" s="224"/>
      <c r="R37" s="224"/>
      <c r="S37" s="224"/>
      <c r="T37" s="224"/>
      <c r="U37" s="224"/>
    </row>
    <row r="38" spans="3:21" x14ac:dyDescent="0.25">
      <c r="C38" s="235" t="s">
        <v>31</v>
      </c>
      <c r="D38" s="235"/>
      <c r="E38" s="25"/>
      <c r="L38" s="224" t="s">
        <v>8</v>
      </c>
      <c r="M38" s="224"/>
      <c r="N38" s="224"/>
      <c r="O38" s="224"/>
      <c r="P38" s="224"/>
      <c r="Q38" s="224"/>
      <c r="R38" s="224"/>
      <c r="S38" s="224"/>
      <c r="T38" s="224"/>
      <c r="U38" s="224"/>
    </row>
    <row r="39" spans="3:21" x14ac:dyDescent="0.25">
      <c r="L39" s="224" t="s">
        <v>9</v>
      </c>
      <c r="M39" s="224"/>
      <c r="N39" s="224"/>
      <c r="O39" s="224"/>
      <c r="P39" s="224"/>
      <c r="Q39" s="224"/>
      <c r="R39" s="224"/>
      <c r="S39" s="224"/>
      <c r="T39" s="224"/>
      <c r="U39" s="224"/>
    </row>
    <row r="40" spans="3:21" x14ac:dyDescent="0.25">
      <c r="L40" s="224" t="s">
        <v>11</v>
      </c>
      <c r="M40" s="224"/>
      <c r="N40" s="224"/>
      <c r="O40" s="224"/>
      <c r="P40" s="224"/>
      <c r="Q40" s="224"/>
      <c r="R40" s="224"/>
      <c r="S40" s="224"/>
      <c r="T40" s="224"/>
      <c r="U40" s="224"/>
    </row>
    <row r="41" spans="3:21" x14ac:dyDescent="0.25">
      <c r="E41" s="233" t="s">
        <v>87</v>
      </c>
      <c r="F41" s="234"/>
      <c r="G41" s="234"/>
      <c r="H41" s="234"/>
      <c r="I41" s="234"/>
      <c r="J41" s="234"/>
      <c r="L41" s="258" t="s">
        <v>18</v>
      </c>
      <c r="M41" s="224"/>
      <c r="N41" s="224"/>
      <c r="O41" s="224"/>
      <c r="P41" s="224"/>
      <c r="Q41" s="224"/>
      <c r="R41" s="224"/>
      <c r="S41" s="224"/>
      <c r="T41" s="224"/>
      <c r="U41" s="224"/>
    </row>
    <row r="42" spans="3:21" x14ac:dyDescent="0.25">
      <c r="E42" s="234"/>
      <c r="F42" s="234"/>
      <c r="G42" s="234"/>
      <c r="H42" s="234"/>
      <c r="I42" s="234"/>
      <c r="J42" s="234"/>
      <c r="L42" s="224"/>
      <c r="M42" s="224"/>
      <c r="N42" s="224"/>
      <c r="O42" s="224"/>
      <c r="P42" s="224"/>
      <c r="Q42" s="224"/>
      <c r="R42" s="224"/>
      <c r="S42" s="224"/>
      <c r="T42" s="224"/>
      <c r="U42" s="224"/>
    </row>
    <row r="43" spans="3:21" x14ac:dyDescent="0.25">
      <c r="E43" s="234"/>
      <c r="F43" s="234"/>
      <c r="G43" s="234"/>
      <c r="H43" s="234"/>
      <c r="I43" s="234"/>
      <c r="J43" s="234"/>
      <c r="L43" s="224"/>
      <c r="M43" s="224"/>
      <c r="N43" s="224"/>
      <c r="O43" s="224"/>
      <c r="P43" s="224"/>
      <c r="Q43" s="224"/>
      <c r="R43" s="224"/>
      <c r="S43" s="224"/>
      <c r="T43" s="224"/>
      <c r="U43" s="224"/>
    </row>
    <row r="44" spans="3:21" x14ac:dyDescent="0.25">
      <c r="E44" s="234"/>
      <c r="F44" s="234"/>
      <c r="G44" s="234"/>
      <c r="H44" s="234"/>
      <c r="I44" s="234"/>
      <c r="J44" s="234"/>
    </row>
    <row r="45" spans="3:21" x14ac:dyDescent="0.25">
      <c r="E45" s="234"/>
      <c r="F45" s="234"/>
      <c r="G45" s="234"/>
      <c r="H45" s="234"/>
      <c r="I45" s="234"/>
      <c r="J45" s="234"/>
      <c r="L45" s="224"/>
      <c r="M45" s="224"/>
      <c r="N45" s="224"/>
      <c r="O45" s="224"/>
      <c r="P45" s="224"/>
      <c r="Q45" s="224"/>
      <c r="R45" s="224"/>
      <c r="S45" s="224"/>
      <c r="T45" s="224"/>
      <c r="U45" s="224"/>
    </row>
    <row r="46" spans="3:21" x14ac:dyDescent="0.25">
      <c r="E46" s="234"/>
      <c r="F46" s="234"/>
      <c r="G46" s="234"/>
      <c r="H46" s="234"/>
      <c r="I46" s="234"/>
      <c r="J46" s="234"/>
      <c r="L46" s="224"/>
      <c r="M46" s="224"/>
      <c r="N46" s="224"/>
      <c r="O46" s="224"/>
      <c r="P46" s="224"/>
      <c r="Q46" s="224"/>
      <c r="R46" s="224"/>
      <c r="S46" s="224"/>
      <c r="T46" s="224"/>
      <c r="U46" s="224"/>
    </row>
    <row r="47" spans="3:21" x14ac:dyDescent="0.25">
      <c r="E47" s="234"/>
      <c r="F47" s="234"/>
      <c r="G47" s="234"/>
      <c r="H47" s="234"/>
      <c r="I47" s="234"/>
      <c r="J47" s="234"/>
      <c r="L47" s="224"/>
      <c r="M47" s="224"/>
      <c r="N47" s="224"/>
      <c r="O47" s="224"/>
      <c r="P47" s="224"/>
      <c r="Q47" s="224"/>
      <c r="R47" s="224"/>
      <c r="S47" s="224"/>
      <c r="T47" s="224"/>
      <c r="U47" s="224"/>
    </row>
    <row r="48" spans="3:21" x14ac:dyDescent="0.25">
      <c r="E48" s="234"/>
      <c r="F48" s="234"/>
      <c r="G48" s="234"/>
      <c r="H48" s="234"/>
      <c r="I48" s="234"/>
      <c r="J48" s="234"/>
    </row>
    <row r="49" spans="5:10" x14ac:dyDescent="0.25">
      <c r="E49" s="234"/>
      <c r="F49" s="234"/>
      <c r="G49" s="234"/>
      <c r="H49" s="234"/>
      <c r="I49" s="234"/>
      <c r="J49" s="234"/>
    </row>
    <row r="50" spans="5:10" x14ac:dyDescent="0.25">
      <c r="E50" s="234"/>
      <c r="F50" s="234"/>
      <c r="G50" s="234"/>
      <c r="H50" s="234"/>
      <c r="I50" s="234"/>
      <c r="J50" s="234"/>
    </row>
  </sheetData>
  <mergeCells count="58">
    <mergeCell ref="B1:J1"/>
    <mergeCell ref="L22:U32"/>
    <mergeCell ref="L37:U37"/>
    <mergeCell ref="L47:U47"/>
    <mergeCell ref="L38:U38"/>
    <mergeCell ref="L39:U39"/>
    <mergeCell ref="L40:U40"/>
    <mergeCell ref="L41:U41"/>
    <mergeCell ref="L42:U42"/>
    <mergeCell ref="L43:U43"/>
    <mergeCell ref="B7:K7"/>
    <mergeCell ref="L45:U45"/>
    <mergeCell ref="L46:U46"/>
    <mergeCell ref="L20:U20"/>
    <mergeCell ref="L21:U21"/>
    <mergeCell ref="L12:U19"/>
    <mergeCell ref="L9:U9"/>
    <mergeCell ref="L10:U10"/>
    <mergeCell ref="L11:U11"/>
    <mergeCell ref="L1:U1"/>
    <mergeCell ref="L5:U5"/>
    <mergeCell ref="L6:U6"/>
    <mergeCell ref="L7:U7"/>
    <mergeCell ref="L8:U8"/>
    <mergeCell ref="L2:U2"/>
    <mergeCell ref="L3:U3"/>
    <mergeCell ref="L4:U4"/>
    <mergeCell ref="B32:J32"/>
    <mergeCell ref="B23:J23"/>
    <mergeCell ref="B26:J26"/>
    <mergeCell ref="B27:J27"/>
    <mergeCell ref="B28:J28"/>
    <mergeCell ref="B29:J29"/>
    <mergeCell ref="B30:J30"/>
    <mergeCell ref="B31:J31"/>
    <mergeCell ref="B24:J25"/>
    <mergeCell ref="E41:J50"/>
    <mergeCell ref="C34:D34"/>
    <mergeCell ref="C35:D35"/>
    <mergeCell ref="C36:D36"/>
    <mergeCell ref="C37:D37"/>
    <mergeCell ref="C38:D38"/>
    <mergeCell ref="B2:J2"/>
    <mergeCell ref="B22:J22"/>
    <mergeCell ref="B4:J6"/>
    <mergeCell ref="B8:J8"/>
    <mergeCell ref="B9:J9"/>
    <mergeCell ref="B17:J17"/>
    <mergeCell ref="B18:J18"/>
    <mergeCell ref="B20:J20"/>
    <mergeCell ref="B3:J3"/>
    <mergeCell ref="B10:J11"/>
    <mergeCell ref="B12:J12"/>
    <mergeCell ref="B13:J13"/>
    <mergeCell ref="B14:J14"/>
    <mergeCell ref="B15:J15"/>
    <mergeCell ref="B16:J16"/>
    <mergeCell ref="B19:J19"/>
  </mergeCells>
  <hyperlinks>
    <hyperlink ref="L41"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zoomScaleNormal="100" workbookViewId="0">
      <pane ySplit="1" topLeftCell="A2" activePane="bottomLeft" state="frozen"/>
      <selection pane="bottomLeft" activeCell="K18" sqref="K18"/>
    </sheetView>
  </sheetViews>
  <sheetFormatPr defaultColWidth="9.140625" defaultRowHeight="15" x14ac:dyDescent="0.25"/>
  <cols>
    <col min="1" max="1" width="8.85546875" style="85" customWidth="1"/>
    <col min="2" max="2" width="6.28515625" style="85" customWidth="1"/>
    <col min="3" max="3" width="8.42578125" style="85" customWidth="1"/>
    <col min="4" max="4" width="6.42578125" style="85" customWidth="1"/>
    <col min="5" max="5" width="6.28515625" style="85" customWidth="1"/>
    <col min="6" max="6" width="9.140625" style="85" customWidth="1"/>
    <col min="7" max="7" width="7.42578125" style="85" customWidth="1"/>
    <col min="8" max="8" width="4.5703125" style="85" customWidth="1"/>
    <col min="9" max="9" width="18" style="85" customWidth="1"/>
    <col min="10" max="10" width="9.7109375" style="85" customWidth="1"/>
    <col min="11" max="11" width="67.42578125" style="85" customWidth="1"/>
    <col min="12" max="12" width="50.85546875" style="85" customWidth="1"/>
    <col min="13" max="13" width="15.5703125" style="85" customWidth="1"/>
    <col min="14" max="14" width="19.85546875" style="85" bestFit="1" customWidth="1"/>
    <col min="15" max="15" width="12.42578125" style="85" customWidth="1"/>
    <col min="16" max="16" width="5.140625" style="85" customWidth="1"/>
    <col min="17" max="16384" width="9.140625" style="85"/>
  </cols>
  <sheetData>
    <row r="1" spans="1:19" ht="58.5" customHeight="1" thickBot="1" x14ac:dyDescent="0.35">
      <c r="A1" s="5" t="s">
        <v>12</v>
      </c>
      <c r="B1" s="101" t="s">
        <v>0</v>
      </c>
      <c r="C1" s="101" t="s">
        <v>42</v>
      </c>
      <c r="D1" s="101" t="s">
        <v>43</v>
      </c>
      <c r="E1" s="101" t="s">
        <v>41</v>
      </c>
      <c r="F1" s="101" t="s">
        <v>50</v>
      </c>
      <c r="G1" s="101" t="s">
        <v>1</v>
      </c>
      <c r="H1" s="101" t="s">
        <v>56</v>
      </c>
      <c r="I1" s="23" t="s">
        <v>21</v>
      </c>
      <c r="J1" s="99" t="s">
        <v>74</v>
      </c>
      <c r="K1" s="34" t="s">
        <v>95</v>
      </c>
      <c r="L1" s="18" t="s">
        <v>2</v>
      </c>
      <c r="M1" s="26"/>
      <c r="N1" s="27" t="s">
        <v>33</v>
      </c>
      <c r="O1" s="28">
        <f>SUM(B3:B33)</f>
        <v>50.25</v>
      </c>
      <c r="P1" s="261" t="s">
        <v>73</v>
      </c>
      <c r="Q1" s="262"/>
      <c r="R1" s="262"/>
      <c r="S1" s="262"/>
    </row>
    <row r="2" spans="1:19" ht="18" thickTop="1" thickBot="1" x14ac:dyDescent="0.35">
      <c r="A2" s="85" t="s">
        <v>102</v>
      </c>
      <c r="B2" s="89">
        <f t="shared" ref="B2" si="0">SUM(B3:B33)</f>
        <v>50.25</v>
      </c>
      <c r="C2" s="89">
        <f>SUM(C3:C33)</f>
        <v>18.8</v>
      </c>
      <c r="D2" s="89">
        <f t="shared" ref="D2:H2" si="1">SUM(D3:D33)</f>
        <v>18.75</v>
      </c>
      <c r="E2" s="89">
        <f t="shared" si="1"/>
        <v>8</v>
      </c>
      <c r="F2" s="89">
        <f>SUM(F3:F34)</f>
        <v>24.75</v>
      </c>
      <c r="G2" s="89">
        <f t="shared" si="1"/>
        <v>64.5</v>
      </c>
      <c r="H2" s="89">
        <f t="shared" si="1"/>
        <v>9</v>
      </c>
      <c r="I2" s="14"/>
      <c r="J2" s="14">
        <f>SUM(J3:J33)/60</f>
        <v>4.6166666666666663</v>
      </c>
      <c r="K2" s="100">
        <f>SUM(E2:G2)</f>
        <v>97.25</v>
      </c>
      <c r="L2" s="89"/>
      <c r="M2" s="85" t="s">
        <v>13</v>
      </c>
      <c r="N2" s="81" t="s">
        <v>34</v>
      </c>
      <c r="O2" s="77">
        <f>SUM(O3:O4)</f>
        <v>143.80000000000001</v>
      </c>
      <c r="P2" s="85">
        <f>SUM(P3:P80)</f>
        <v>32</v>
      </c>
    </row>
    <row r="3" spans="1:19" ht="17.25" thickTop="1" x14ac:dyDescent="0.3">
      <c r="A3" s="38">
        <v>46023</v>
      </c>
      <c r="B3" s="42">
        <v>4.75</v>
      </c>
      <c r="C3" s="43">
        <v>0.5</v>
      </c>
      <c r="D3" s="58">
        <v>3</v>
      </c>
      <c r="E3" s="59">
        <v>1.5</v>
      </c>
      <c r="F3" s="67">
        <v>1</v>
      </c>
      <c r="G3" s="61">
        <v>1.75</v>
      </c>
      <c r="H3" s="85">
        <v>1</v>
      </c>
      <c r="I3" s="36" t="s">
        <v>96</v>
      </c>
      <c r="J3" s="36">
        <v>25</v>
      </c>
      <c r="K3" s="37" t="s">
        <v>91</v>
      </c>
      <c r="L3" s="19"/>
      <c r="M3" s="35">
        <f>SUM(M4:M24)</f>
        <v>97.25</v>
      </c>
      <c r="N3" s="80" t="s">
        <v>15</v>
      </c>
      <c r="O3" s="80">
        <f>SUM(C3:E33)</f>
        <v>45.55</v>
      </c>
    </row>
    <row r="4" spans="1:19" ht="19.5" customHeight="1" x14ac:dyDescent="0.3">
      <c r="A4" s="38">
        <v>46024</v>
      </c>
      <c r="B4" s="42">
        <v>7</v>
      </c>
      <c r="C4" s="43">
        <v>1</v>
      </c>
      <c r="D4" s="58">
        <v>0.5</v>
      </c>
      <c r="E4" s="62"/>
      <c r="F4" s="53">
        <v>0.5</v>
      </c>
      <c r="G4" s="63">
        <v>2</v>
      </c>
      <c r="H4" s="14">
        <v>1</v>
      </c>
      <c r="I4" s="14" t="s">
        <v>101</v>
      </c>
      <c r="J4" s="14">
        <v>35</v>
      </c>
      <c r="K4" s="37"/>
      <c r="L4" s="95" t="s">
        <v>89</v>
      </c>
      <c r="M4" s="90"/>
      <c r="N4" s="29" t="s">
        <v>57</v>
      </c>
      <c r="O4" s="29">
        <f>SUM(F3:H34)</f>
        <v>98.25</v>
      </c>
      <c r="P4" s="85">
        <v>8</v>
      </c>
    </row>
    <row r="5" spans="1:19" ht="16.5" x14ac:dyDescent="0.3">
      <c r="A5" s="38">
        <v>46025</v>
      </c>
      <c r="B5" s="85">
        <v>4.5</v>
      </c>
      <c r="C5" s="43">
        <v>1</v>
      </c>
      <c r="D5" s="58">
        <v>1</v>
      </c>
      <c r="E5" s="62">
        <v>2.5</v>
      </c>
      <c r="F5" s="60">
        <v>1</v>
      </c>
      <c r="G5" s="68"/>
      <c r="H5" s="14">
        <v>2</v>
      </c>
      <c r="I5" s="14" t="s">
        <v>106</v>
      </c>
      <c r="J5" s="14">
        <v>21</v>
      </c>
      <c r="K5" s="37" t="s">
        <v>100</v>
      </c>
      <c r="L5" s="91" t="s">
        <v>110</v>
      </c>
      <c r="M5" s="92"/>
      <c r="N5" s="16" t="s">
        <v>19</v>
      </c>
      <c r="O5" s="16" t="s">
        <v>21</v>
      </c>
      <c r="P5" s="36"/>
    </row>
    <row r="6" spans="1:19" ht="16.5" x14ac:dyDescent="0.3">
      <c r="A6" s="38">
        <v>46026</v>
      </c>
      <c r="B6" s="42">
        <v>7.25</v>
      </c>
      <c r="C6" s="43">
        <v>1.5</v>
      </c>
      <c r="D6" s="59">
        <v>1.25</v>
      </c>
      <c r="F6" s="53">
        <v>0.5</v>
      </c>
      <c r="G6" s="63">
        <v>0.75</v>
      </c>
      <c r="H6" s="14"/>
      <c r="I6" s="14" t="s">
        <v>108</v>
      </c>
      <c r="J6" s="14">
        <v>35</v>
      </c>
      <c r="K6" s="37"/>
      <c r="L6" s="95" t="s">
        <v>92</v>
      </c>
      <c r="M6" s="90">
        <v>1.5</v>
      </c>
      <c r="N6" s="30" t="s">
        <v>123</v>
      </c>
      <c r="O6" s="31" t="s">
        <v>124</v>
      </c>
    </row>
    <row r="7" spans="1:19" ht="16.5" x14ac:dyDescent="0.3">
      <c r="A7" s="38">
        <v>46027</v>
      </c>
      <c r="B7" s="42">
        <v>3</v>
      </c>
      <c r="C7" s="43"/>
      <c r="D7" s="45"/>
      <c r="E7" s="62"/>
      <c r="F7" s="53"/>
      <c r="G7" s="63"/>
      <c r="H7" s="14"/>
      <c r="I7" s="14"/>
      <c r="J7" s="14">
        <v>15</v>
      </c>
      <c r="K7" s="37"/>
      <c r="L7" s="93" t="s">
        <v>107</v>
      </c>
      <c r="M7" s="94">
        <v>2.5</v>
      </c>
      <c r="N7" s="40" t="s">
        <v>126</v>
      </c>
      <c r="O7" s="32" t="s">
        <v>62</v>
      </c>
    </row>
    <row r="8" spans="1:19" ht="16.5" x14ac:dyDescent="0.3">
      <c r="A8" s="38">
        <v>46028</v>
      </c>
      <c r="B8" s="42">
        <v>1.75</v>
      </c>
      <c r="C8" s="43"/>
      <c r="D8" s="45"/>
      <c r="F8" s="102">
        <v>0.75</v>
      </c>
      <c r="G8" s="82">
        <v>2</v>
      </c>
      <c r="I8" s="14" t="s">
        <v>117</v>
      </c>
      <c r="J8" s="14">
        <v>30</v>
      </c>
      <c r="K8" s="37"/>
      <c r="L8" s="95" t="s">
        <v>149</v>
      </c>
      <c r="M8" s="93"/>
      <c r="N8" s="85" t="s">
        <v>127</v>
      </c>
      <c r="O8" s="85" t="s">
        <v>129</v>
      </c>
      <c r="P8" s="85">
        <v>6</v>
      </c>
    </row>
    <row r="9" spans="1:19" ht="16.5" x14ac:dyDescent="0.3">
      <c r="A9" s="38">
        <v>46029</v>
      </c>
      <c r="B9" s="42">
        <v>3</v>
      </c>
      <c r="C9" s="43">
        <v>0.5</v>
      </c>
      <c r="D9" s="45">
        <v>1.5</v>
      </c>
      <c r="E9" s="62"/>
      <c r="F9" s="53">
        <v>0.5</v>
      </c>
      <c r="G9" s="63"/>
      <c r="H9" s="14">
        <v>1</v>
      </c>
      <c r="I9" s="14"/>
      <c r="J9" s="14">
        <v>0</v>
      </c>
      <c r="K9" s="37" t="s">
        <v>113</v>
      </c>
      <c r="L9" s="93" t="s">
        <v>140</v>
      </c>
      <c r="M9" s="90">
        <v>4</v>
      </c>
      <c r="N9" s="32" t="s">
        <v>128</v>
      </c>
      <c r="O9" s="75" t="s">
        <v>130</v>
      </c>
    </row>
    <row r="10" spans="1:19" ht="16.5" x14ac:dyDescent="0.3">
      <c r="A10" s="38">
        <v>46030</v>
      </c>
      <c r="B10" s="42">
        <v>2.5</v>
      </c>
      <c r="C10" s="43">
        <v>1.5</v>
      </c>
      <c r="D10" s="45"/>
      <c r="E10" s="14"/>
      <c r="F10" s="53">
        <v>0.75</v>
      </c>
      <c r="G10" s="63">
        <v>4</v>
      </c>
      <c r="H10" s="85">
        <v>0.5</v>
      </c>
      <c r="I10" s="14" t="s">
        <v>115</v>
      </c>
      <c r="J10" s="14">
        <v>11</v>
      </c>
      <c r="K10" s="37"/>
      <c r="L10" s="93"/>
      <c r="M10" s="90"/>
      <c r="N10" s="40" t="s">
        <v>125</v>
      </c>
      <c r="O10" s="32" t="s">
        <v>63</v>
      </c>
      <c r="P10" s="85">
        <v>6</v>
      </c>
    </row>
    <row r="11" spans="1:19" ht="16.5" x14ac:dyDescent="0.3">
      <c r="A11" s="38">
        <v>46031</v>
      </c>
      <c r="B11" s="42">
        <v>0.5</v>
      </c>
      <c r="C11" s="43">
        <v>0.25</v>
      </c>
      <c r="D11" s="62"/>
      <c r="F11" s="53">
        <v>0.75</v>
      </c>
      <c r="G11" s="63">
        <v>6</v>
      </c>
      <c r="H11" s="89"/>
      <c r="I11" s="89"/>
      <c r="J11" s="89"/>
      <c r="K11" s="37" t="s">
        <v>114</v>
      </c>
      <c r="L11" s="93"/>
      <c r="M11" s="90"/>
      <c r="N11" s="85" t="s">
        <v>131</v>
      </c>
      <c r="O11" s="85" t="s">
        <v>59</v>
      </c>
      <c r="P11" s="85">
        <v>6</v>
      </c>
    </row>
    <row r="12" spans="1:19" ht="16.5" x14ac:dyDescent="0.3">
      <c r="A12" s="38">
        <v>46032</v>
      </c>
      <c r="B12" s="42">
        <v>2</v>
      </c>
      <c r="C12" s="43">
        <v>3</v>
      </c>
      <c r="D12" s="14">
        <v>1.5</v>
      </c>
      <c r="E12" s="69"/>
      <c r="F12" s="53"/>
      <c r="G12" s="63">
        <v>5</v>
      </c>
      <c r="H12" s="89">
        <v>1</v>
      </c>
      <c r="I12" s="89" t="s">
        <v>118</v>
      </c>
      <c r="J12" s="89">
        <v>15</v>
      </c>
      <c r="K12" s="37" t="s">
        <v>119</v>
      </c>
      <c r="L12" s="93"/>
      <c r="M12" s="90"/>
      <c r="N12" s="40" t="s">
        <v>135</v>
      </c>
      <c r="O12" s="40" t="s">
        <v>134</v>
      </c>
    </row>
    <row r="13" spans="1:19" ht="16.5" x14ac:dyDescent="0.3">
      <c r="A13" s="38">
        <v>46033</v>
      </c>
      <c r="B13" s="76">
        <v>1.5</v>
      </c>
      <c r="C13" s="14">
        <v>4</v>
      </c>
      <c r="D13" s="85">
        <v>4.5</v>
      </c>
      <c r="E13" s="14"/>
      <c r="F13" s="14"/>
      <c r="G13" s="14"/>
      <c r="H13" s="14">
        <v>1</v>
      </c>
      <c r="I13" s="14" t="s">
        <v>121</v>
      </c>
      <c r="J13" s="14">
        <v>22</v>
      </c>
      <c r="K13" s="14" t="s">
        <v>120</v>
      </c>
      <c r="L13" s="95"/>
      <c r="M13" s="90"/>
      <c r="N13" s="36" t="s">
        <v>132</v>
      </c>
      <c r="O13" s="36" t="s">
        <v>133</v>
      </c>
    </row>
    <row r="14" spans="1:19" ht="18" customHeight="1" x14ac:dyDescent="0.3">
      <c r="A14" s="38">
        <v>46034</v>
      </c>
      <c r="B14" s="42"/>
      <c r="C14" s="43"/>
      <c r="D14" s="45"/>
      <c r="E14" s="64"/>
      <c r="F14" s="65"/>
      <c r="G14" s="66"/>
      <c r="H14" s="89"/>
      <c r="I14" s="89"/>
      <c r="J14" s="89"/>
      <c r="K14" s="37"/>
      <c r="L14" s="95"/>
      <c r="M14" s="90"/>
      <c r="N14" s="33" t="s">
        <v>54</v>
      </c>
      <c r="O14" s="33" t="s">
        <v>3</v>
      </c>
    </row>
    <row r="15" spans="1:19" ht="16.5" x14ac:dyDescent="0.3">
      <c r="A15" s="38">
        <v>46035</v>
      </c>
      <c r="B15" s="42"/>
      <c r="C15" s="43"/>
      <c r="D15" s="45"/>
      <c r="E15" s="52"/>
      <c r="F15" s="53"/>
      <c r="G15" s="54"/>
      <c r="H15" s="89"/>
      <c r="I15" s="89"/>
      <c r="J15" s="89"/>
      <c r="K15" s="37"/>
      <c r="L15" s="95" t="s">
        <v>146</v>
      </c>
      <c r="M15" s="90">
        <v>16</v>
      </c>
      <c r="N15" s="33" t="s">
        <v>136</v>
      </c>
      <c r="O15" s="33" t="s">
        <v>55</v>
      </c>
    </row>
    <row r="16" spans="1:19" ht="16.5" x14ac:dyDescent="0.3">
      <c r="A16" s="38">
        <v>46036</v>
      </c>
      <c r="B16" s="42">
        <v>0</v>
      </c>
      <c r="C16" s="43"/>
      <c r="D16" s="46"/>
      <c r="E16" s="52"/>
      <c r="F16" s="53"/>
      <c r="G16" s="54"/>
      <c r="H16" s="89"/>
      <c r="I16" s="89"/>
      <c r="J16" s="89"/>
      <c r="K16" s="37" t="s">
        <v>112</v>
      </c>
      <c r="L16" s="95" t="s">
        <v>145</v>
      </c>
      <c r="M16" s="90">
        <v>8</v>
      </c>
      <c r="N16" s="33" t="s">
        <v>137</v>
      </c>
      <c r="O16" s="33" t="s">
        <v>40</v>
      </c>
    </row>
    <row r="17" spans="1:16" ht="16.5" x14ac:dyDescent="0.3">
      <c r="A17" s="38">
        <v>46037</v>
      </c>
      <c r="B17" s="42">
        <v>0</v>
      </c>
      <c r="C17" s="43"/>
      <c r="D17" s="47"/>
      <c r="E17" s="52"/>
      <c r="F17" s="53"/>
      <c r="G17" s="54"/>
      <c r="J17" s="36"/>
      <c r="K17" s="37" t="s">
        <v>381</v>
      </c>
      <c r="L17" s="93" t="s">
        <v>111</v>
      </c>
      <c r="M17" s="90">
        <v>1.75</v>
      </c>
      <c r="N17" s="85" t="s">
        <v>71</v>
      </c>
    </row>
    <row r="18" spans="1:16" ht="16.5" x14ac:dyDescent="0.3">
      <c r="A18" s="38">
        <v>46038</v>
      </c>
      <c r="B18" s="42">
        <v>0</v>
      </c>
      <c r="C18" s="43"/>
      <c r="D18" s="45"/>
      <c r="E18" s="52"/>
      <c r="F18" s="53"/>
      <c r="G18" s="54"/>
      <c r="H18" s="89"/>
      <c r="I18" s="89"/>
      <c r="J18" s="89"/>
      <c r="K18" s="37" t="s">
        <v>381</v>
      </c>
      <c r="L18" s="95" t="s">
        <v>116</v>
      </c>
      <c r="M18" s="90">
        <v>7</v>
      </c>
      <c r="N18" s="39"/>
    </row>
    <row r="19" spans="1:16" ht="16.5" x14ac:dyDescent="0.3">
      <c r="A19" s="38">
        <v>46039</v>
      </c>
      <c r="B19" s="42">
        <v>0</v>
      </c>
      <c r="C19" s="43"/>
      <c r="D19" s="45"/>
      <c r="E19" s="52"/>
      <c r="F19" s="53"/>
      <c r="G19" s="54"/>
      <c r="H19" s="89"/>
      <c r="I19" s="89"/>
      <c r="J19" s="89"/>
      <c r="K19" s="37" t="s">
        <v>381</v>
      </c>
      <c r="L19" s="93" t="s">
        <v>109</v>
      </c>
      <c r="M19" s="94">
        <v>0.5</v>
      </c>
      <c r="N19" s="72" t="s">
        <v>45</v>
      </c>
      <c r="O19" s="72">
        <v>10</v>
      </c>
      <c r="P19" s="87"/>
    </row>
    <row r="20" spans="1:16" ht="16.5" x14ac:dyDescent="0.3">
      <c r="A20" s="38">
        <v>46040</v>
      </c>
      <c r="B20" s="42">
        <v>0</v>
      </c>
      <c r="C20" s="43"/>
      <c r="D20" s="48"/>
      <c r="E20" s="52"/>
      <c r="F20" s="53"/>
      <c r="G20" s="54"/>
      <c r="H20" s="89"/>
      <c r="I20" s="89"/>
      <c r="J20" s="89"/>
      <c r="K20" s="37" t="s">
        <v>381</v>
      </c>
      <c r="L20" s="96" t="s">
        <v>104</v>
      </c>
      <c r="M20" s="93">
        <v>15</v>
      </c>
      <c r="N20" s="72" t="s">
        <v>46</v>
      </c>
      <c r="O20" s="72">
        <v>20</v>
      </c>
      <c r="P20" s="87"/>
    </row>
    <row r="21" spans="1:16" ht="16.5" x14ac:dyDescent="0.3">
      <c r="A21" s="38">
        <v>46041</v>
      </c>
      <c r="B21" s="42"/>
      <c r="C21" s="43"/>
      <c r="D21" s="45"/>
      <c r="E21" s="52"/>
      <c r="F21" s="53"/>
      <c r="G21" s="54"/>
      <c r="H21" s="89"/>
      <c r="I21" s="89"/>
      <c r="J21" s="89"/>
      <c r="K21" s="37"/>
      <c r="L21" s="97" t="s">
        <v>162</v>
      </c>
      <c r="M21" s="92">
        <v>29</v>
      </c>
      <c r="N21" s="72" t="s">
        <v>58</v>
      </c>
      <c r="O21" s="72">
        <v>30</v>
      </c>
      <c r="P21" s="86"/>
    </row>
    <row r="22" spans="1:16" ht="16.5" x14ac:dyDescent="0.3">
      <c r="A22" s="38">
        <v>46042</v>
      </c>
      <c r="B22" s="42"/>
      <c r="C22" s="43"/>
      <c r="D22" s="45"/>
      <c r="E22" s="52"/>
      <c r="F22" s="53">
        <v>1</v>
      </c>
      <c r="G22" s="54"/>
      <c r="H22" s="89"/>
      <c r="I22" s="89"/>
      <c r="J22" s="89"/>
      <c r="K22" s="37"/>
      <c r="L22" s="97" t="s">
        <v>90</v>
      </c>
      <c r="M22" s="90">
        <v>0.5</v>
      </c>
      <c r="N22" s="73" t="s">
        <v>47</v>
      </c>
      <c r="O22" s="73">
        <v>20</v>
      </c>
      <c r="P22" s="86"/>
    </row>
    <row r="23" spans="1:16" ht="16.5" x14ac:dyDescent="0.3">
      <c r="A23" s="38">
        <v>46043</v>
      </c>
      <c r="B23" s="42">
        <v>5</v>
      </c>
      <c r="C23" s="43">
        <v>0.3</v>
      </c>
      <c r="D23" s="45"/>
      <c r="E23" s="52"/>
      <c r="F23" s="53">
        <v>1</v>
      </c>
      <c r="G23" s="54">
        <v>5.5</v>
      </c>
      <c r="H23" s="89">
        <v>1</v>
      </c>
      <c r="I23" s="89" t="s">
        <v>164</v>
      </c>
      <c r="J23" s="89">
        <v>20</v>
      </c>
      <c r="K23" s="37" t="s">
        <v>122</v>
      </c>
      <c r="L23" s="98" t="s">
        <v>103</v>
      </c>
      <c r="M23" s="92">
        <v>2.5</v>
      </c>
      <c r="N23" s="73" t="s">
        <v>48</v>
      </c>
      <c r="O23" s="73">
        <v>10</v>
      </c>
      <c r="P23" s="86">
        <v>5</v>
      </c>
    </row>
    <row r="24" spans="1:16" ht="16.5" x14ac:dyDescent="0.3">
      <c r="A24" s="38">
        <v>46044</v>
      </c>
      <c r="B24" s="42">
        <v>6.5</v>
      </c>
      <c r="C24" s="43">
        <v>0.75</v>
      </c>
      <c r="D24" s="45">
        <v>0.5</v>
      </c>
      <c r="E24" s="52"/>
      <c r="F24" s="53">
        <v>1</v>
      </c>
      <c r="G24" s="54">
        <v>1.5</v>
      </c>
      <c r="H24" s="89">
        <v>0.5</v>
      </c>
      <c r="I24" s="85" t="s">
        <v>165</v>
      </c>
      <c r="J24" s="85">
        <v>36</v>
      </c>
      <c r="K24" s="37" t="s">
        <v>138</v>
      </c>
      <c r="L24" s="98" t="s">
        <v>142</v>
      </c>
      <c r="M24" s="92">
        <v>9</v>
      </c>
      <c r="N24" s="73" t="s">
        <v>22</v>
      </c>
      <c r="O24" s="73">
        <v>15</v>
      </c>
      <c r="P24" s="86">
        <v>5</v>
      </c>
    </row>
    <row r="25" spans="1:16" ht="16.5" x14ac:dyDescent="0.3">
      <c r="A25" s="38">
        <v>46045</v>
      </c>
      <c r="B25" s="42"/>
      <c r="C25" s="43"/>
      <c r="D25" s="45"/>
      <c r="E25" s="52"/>
      <c r="F25" s="53"/>
      <c r="G25" s="54">
        <v>3.5</v>
      </c>
      <c r="J25" s="36"/>
      <c r="K25" s="37" t="s">
        <v>139</v>
      </c>
      <c r="L25" s="70"/>
      <c r="M25" s="71"/>
      <c r="N25" s="74"/>
      <c r="O25" s="74"/>
      <c r="P25" s="85">
        <v>-4</v>
      </c>
    </row>
    <row r="26" spans="1:16" ht="16.5" x14ac:dyDescent="0.3">
      <c r="A26" s="38">
        <v>46046</v>
      </c>
      <c r="B26" s="42"/>
      <c r="C26" s="43"/>
      <c r="D26" s="45"/>
      <c r="E26" s="52"/>
      <c r="F26" s="53"/>
      <c r="G26" s="54">
        <v>8</v>
      </c>
      <c r="H26" s="89"/>
      <c r="I26" s="89"/>
      <c r="J26" s="89"/>
      <c r="K26" s="37" t="s">
        <v>145</v>
      </c>
      <c r="L26" s="17"/>
      <c r="M26" s="10"/>
      <c r="N26" s="74" t="s">
        <v>59</v>
      </c>
      <c r="O26" s="74">
        <v>15</v>
      </c>
    </row>
    <row r="27" spans="1:16" ht="16.5" x14ac:dyDescent="0.3">
      <c r="A27" s="38">
        <v>46047</v>
      </c>
      <c r="B27" s="42"/>
      <c r="C27" s="43"/>
      <c r="D27" s="49"/>
      <c r="E27" s="52"/>
      <c r="F27" s="53"/>
      <c r="G27" s="54">
        <v>8</v>
      </c>
      <c r="H27" s="89"/>
      <c r="I27" s="89"/>
      <c r="J27" s="89"/>
      <c r="K27" s="37" t="s">
        <v>148</v>
      </c>
      <c r="L27" s="89"/>
      <c r="N27" s="88" t="s">
        <v>49</v>
      </c>
      <c r="O27" s="88">
        <f>SUM(O19:O26)/60</f>
        <v>2</v>
      </c>
    </row>
    <row r="28" spans="1:16" ht="37.5" customHeight="1" thickBot="1" x14ac:dyDescent="0.35">
      <c r="A28" s="38">
        <v>46048</v>
      </c>
      <c r="B28" s="83"/>
      <c r="C28" s="43"/>
      <c r="D28" s="50"/>
      <c r="E28" s="52"/>
      <c r="F28" s="53"/>
      <c r="G28" s="54">
        <v>8</v>
      </c>
      <c r="H28" s="89"/>
      <c r="I28" s="89"/>
      <c r="J28" s="89"/>
      <c r="K28" s="84" t="s">
        <v>147</v>
      </c>
      <c r="L28" s="79" t="s">
        <v>99</v>
      </c>
      <c r="M28" s="79"/>
      <c r="N28" s="79"/>
      <c r="O28" s="79"/>
      <c r="P28" s="79"/>
    </row>
    <row r="29" spans="1:16" ht="22.5" customHeight="1" thickTop="1" thickBot="1" x14ac:dyDescent="0.35">
      <c r="A29" s="38">
        <v>46049</v>
      </c>
      <c r="B29" s="42"/>
      <c r="C29" s="43"/>
      <c r="D29" s="45">
        <v>1</v>
      </c>
      <c r="E29" s="52"/>
      <c r="F29" s="53"/>
      <c r="G29" s="54">
        <v>4</v>
      </c>
      <c r="H29" s="89"/>
      <c r="I29" s="89"/>
      <c r="J29" s="89"/>
      <c r="K29" s="37" t="s">
        <v>144</v>
      </c>
      <c r="L29" s="79"/>
      <c r="M29" s="79"/>
      <c r="N29" s="79"/>
      <c r="O29" s="79"/>
      <c r="P29" s="79"/>
    </row>
    <row r="30" spans="1:16" ht="21.75" customHeight="1" thickTop="1" x14ac:dyDescent="0.3">
      <c r="A30" s="38">
        <v>46050</v>
      </c>
      <c r="B30" s="42"/>
      <c r="C30" s="43"/>
      <c r="D30" s="45">
        <v>0.5</v>
      </c>
      <c r="E30" s="52"/>
      <c r="F30" s="53"/>
      <c r="G30" s="54">
        <v>2</v>
      </c>
      <c r="H30" s="89"/>
      <c r="I30" s="89"/>
      <c r="J30" s="89"/>
      <c r="K30" s="37"/>
    </row>
    <row r="31" spans="1:16" ht="16.5" x14ac:dyDescent="0.3">
      <c r="A31" s="38">
        <v>46051</v>
      </c>
      <c r="B31" s="42"/>
      <c r="C31" s="43"/>
      <c r="D31" s="45"/>
      <c r="E31" s="52"/>
      <c r="F31" s="53"/>
      <c r="G31" s="54">
        <v>2.5</v>
      </c>
      <c r="H31" s="89"/>
      <c r="I31" s="89"/>
      <c r="J31" s="89"/>
      <c r="K31" s="37" t="s">
        <v>143</v>
      </c>
    </row>
    <row r="32" spans="1:16" ht="16.5" x14ac:dyDescent="0.3">
      <c r="A32" s="38">
        <v>46052</v>
      </c>
      <c r="B32" s="42"/>
      <c r="C32" s="43"/>
      <c r="D32" s="45">
        <v>1</v>
      </c>
      <c r="E32" s="52">
        <v>2</v>
      </c>
      <c r="F32" s="53"/>
      <c r="G32" s="54"/>
      <c r="H32" s="89"/>
      <c r="I32" s="89"/>
      <c r="J32" s="89"/>
      <c r="K32" s="37" t="s">
        <v>141</v>
      </c>
    </row>
    <row r="33" spans="1:17" ht="16.5" x14ac:dyDescent="0.3">
      <c r="A33" s="38">
        <v>46053</v>
      </c>
      <c r="B33" s="42">
        <v>1</v>
      </c>
      <c r="C33" s="44">
        <v>4.5</v>
      </c>
      <c r="D33" s="51">
        <v>2.5</v>
      </c>
      <c r="E33" s="55">
        <v>2</v>
      </c>
      <c r="F33" s="56">
        <v>1</v>
      </c>
      <c r="G33" s="57"/>
      <c r="H33" s="89"/>
      <c r="I33" s="89"/>
      <c r="J33" s="89">
        <v>12</v>
      </c>
      <c r="K33" s="37" t="s">
        <v>163</v>
      </c>
      <c r="L33" s="89"/>
      <c r="P33" s="89"/>
    </row>
    <row r="34" spans="1:17" ht="16.5" x14ac:dyDescent="0.3">
      <c r="A34" s="38"/>
      <c r="B34" s="89"/>
      <c r="C34" s="89"/>
      <c r="D34" s="89"/>
      <c r="E34" s="89"/>
      <c r="F34" s="24">
        <v>15</v>
      </c>
      <c r="G34" s="24"/>
      <c r="H34" s="89"/>
      <c r="I34" s="89"/>
      <c r="J34" s="89"/>
      <c r="K34" s="89" t="s">
        <v>93</v>
      </c>
      <c r="L34" s="85" t="s">
        <v>94</v>
      </c>
    </row>
    <row r="35" spans="1:17" x14ac:dyDescent="0.25">
      <c r="A35" s="85" t="s">
        <v>17</v>
      </c>
      <c r="B35" s="85">
        <v>3</v>
      </c>
      <c r="N35" s="85" t="s">
        <v>75</v>
      </c>
      <c r="O35" s="85">
        <v>9.6</v>
      </c>
    </row>
    <row r="36" spans="1:17" x14ac:dyDescent="0.25">
      <c r="N36" s="85" t="s">
        <v>70</v>
      </c>
      <c r="O36" s="85">
        <v>18</v>
      </c>
    </row>
    <row r="37" spans="1:17" x14ac:dyDescent="0.25">
      <c r="N37" s="85" t="s">
        <v>76</v>
      </c>
      <c r="O37" s="85">
        <v>41</v>
      </c>
    </row>
    <row r="38" spans="1:17" x14ac:dyDescent="0.25">
      <c r="N38" s="85" t="s">
        <v>77</v>
      </c>
      <c r="O38" s="85">
        <v>10</v>
      </c>
    </row>
    <row r="40" spans="1:17" ht="30" x14ac:dyDescent="0.25">
      <c r="N40" s="1" t="s">
        <v>88</v>
      </c>
      <c r="O40" s="85">
        <f>SUM(O35:O38)</f>
        <v>78.599999999999994</v>
      </c>
    </row>
    <row r="41" spans="1:17" x14ac:dyDescent="0.25">
      <c r="N41" s="224"/>
      <c r="O41" s="224"/>
      <c r="P41" s="224"/>
      <c r="Q41" s="224"/>
    </row>
    <row r="42" spans="1:17" x14ac:dyDescent="0.25">
      <c r="N42" s="234"/>
      <c r="O42" s="234"/>
      <c r="P42" s="234"/>
      <c r="Q42" s="234"/>
    </row>
    <row r="43" spans="1:17" x14ac:dyDescent="0.25">
      <c r="N43" s="85" t="s">
        <v>78</v>
      </c>
      <c r="O43" s="85" t="s">
        <v>79</v>
      </c>
      <c r="P43" s="85" t="s">
        <v>82</v>
      </c>
      <c r="Q43" s="85" t="s">
        <v>85</v>
      </c>
    </row>
    <row r="44" spans="1:17" x14ac:dyDescent="0.25">
      <c r="N44" s="85" t="s">
        <v>80</v>
      </c>
      <c r="O44" s="85" t="s">
        <v>81</v>
      </c>
      <c r="P44" s="85" t="s">
        <v>84</v>
      </c>
      <c r="Q44" s="85" t="s">
        <v>83</v>
      </c>
    </row>
    <row r="55" spans="5:5" x14ac:dyDescent="0.25">
      <c r="E55" s="13"/>
    </row>
    <row r="56" spans="5:5" x14ac:dyDescent="0.25">
      <c r="E56" s="13"/>
    </row>
    <row r="58" spans="5:5" x14ac:dyDescent="0.25">
      <c r="E58" s="13"/>
    </row>
  </sheetData>
  <mergeCells count="3">
    <mergeCell ref="P1:S1"/>
    <mergeCell ref="N41:Q41"/>
    <mergeCell ref="N42:Q42"/>
  </mergeCells>
  <conditionalFormatting sqref="B3:B4 B6:B33">
    <cfRule type="cellIs" dxfId="64" priority="2" operator="lessThan">
      <formula>$B$35</formula>
    </cfRule>
    <cfRule type="cellIs" dxfId="63" priority="3" operator="between">
      <formula>$B$35</formula>
      <formula>3</formula>
    </cfRule>
    <cfRule type="cellIs" dxfId="62" priority="4" operator="greaterThan">
      <formula>$B$35</formula>
    </cfRule>
  </conditionalFormatting>
  <conditionalFormatting sqref="A3:A34">
    <cfRule type="expression" dxfId="61" priority="1">
      <formula>WEEKDAY(A3,2)&gt;5</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workbookViewId="0">
      <selection activeCell="O1" sqref="O1:O3"/>
    </sheetView>
  </sheetViews>
  <sheetFormatPr defaultRowHeight="15" x14ac:dyDescent="0.25"/>
  <cols>
    <col min="1" max="1" width="10.85546875" customWidth="1"/>
    <col min="2" max="2" width="8.42578125" customWidth="1"/>
    <col min="3" max="3" width="9.5703125" customWidth="1"/>
    <col min="4" max="4" width="8.42578125" customWidth="1"/>
    <col min="5" max="5" width="11.5703125" customWidth="1"/>
    <col min="6" max="6" width="8.28515625" customWidth="1"/>
    <col min="8" max="8" width="6.5703125" customWidth="1"/>
    <col min="9" max="9" width="10.28515625" style="15" customWidth="1"/>
    <col min="10" max="10" width="14.5703125" style="107" customWidth="1"/>
    <col min="11" max="11" width="41.85546875" style="3" customWidth="1"/>
    <col min="12" max="12" width="61.42578125" customWidth="1"/>
    <col min="13" max="13" width="12.5703125" customWidth="1"/>
    <col min="14" max="14" width="19.85546875" bestFit="1" customWidth="1"/>
    <col min="15" max="15" width="14.28515625" customWidth="1"/>
  </cols>
  <sheetData>
    <row r="1" spans="1:17" ht="53.25" customHeight="1" x14ac:dyDescent="0.3">
      <c r="A1" s="5" t="s">
        <v>12</v>
      </c>
      <c r="B1" s="105" t="s">
        <v>0</v>
      </c>
      <c r="C1" s="105" t="s">
        <v>42</v>
      </c>
      <c r="D1" s="105" t="s">
        <v>43</v>
      </c>
      <c r="E1" s="105" t="s">
        <v>41</v>
      </c>
      <c r="F1" s="105" t="s">
        <v>50</v>
      </c>
      <c r="G1" s="105" t="s">
        <v>1</v>
      </c>
      <c r="H1" s="105" t="s">
        <v>56</v>
      </c>
      <c r="I1" s="105" t="s">
        <v>74</v>
      </c>
      <c r="J1" s="34" t="s">
        <v>152</v>
      </c>
      <c r="L1" s="18" t="s">
        <v>2</v>
      </c>
      <c r="M1" s="6" t="s">
        <v>26</v>
      </c>
      <c r="N1" t="s">
        <v>14</v>
      </c>
      <c r="O1">
        <f>SUM(B3:B30)</f>
        <v>36</v>
      </c>
      <c r="P1" s="263" t="s">
        <v>154</v>
      </c>
      <c r="Q1" s="263"/>
    </row>
    <row r="2" spans="1:17" ht="16.5" x14ac:dyDescent="0.3">
      <c r="B2" s="7">
        <f>SUM(B3:B31)</f>
        <v>36</v>
      </c>
      <c r="C2" s="104">
        <f t="shared" ref="C2" si="0">SUM(C3:C31)</f>
        <v>10.75</v>
      </c>
      <c r="D2" s="104">
        <f>SUM(D3:D31)</f>
        <v>16</v>
      </c>
      <c r="E2" s="104">
        <f t="shared" ref="E2:H2" si="1">SUM(E3:E31)</f>
        <v>11.75</v>
      </c>
      <c r="F2" s="104">
        <f t="shared" si="1"/>
        <v>29.5</v>
      </c>
      <c r="G2" s="104">
        <f t="shared" si="1"/>
        <v>16.75</v>
      </c>
      <c r="H2" s="104">
        <f t="shared" si="1"/>
        <v>4</v>
      </c>
      <c r="I2" s="7">
        <f>SUM(I3:I30)/60</f>
        <v>2.6333333333333333</v>
      </c>
      <c r="J2" s="108"/>
      <c r="K2" s="106">
        <f>SUM(E2:G2)</f>
        <v>58</v>
      </c>
      <c r="L2" s="7"/>
      <c r="M2" s="3" t="s">
        <v>13</v>
      </c>
      <c r="N2" s="3" t="s">
        <v>15</v>
      </c>
      <c r="O2" s="3">
        <f>SUM(C3:E30)</f>
        <v>38.5</v>
      </c>
      <c r="P2" s="263"/>
      <c r="Q2" s="263"/>
    </row>
    <row r="3" spans="1:17" ht="16.5" x14ac:dyDescent="0.3">
      <c r="A3" s="8">
        <v>46054</v>
      </c>
      <c r="B3" s="105">
        <v>4.5</v>
      </c>
      <c r="C3" s="14">
        <v>1.25</v>
      </c>
      <c r="F3">
        <v>1</v>
      </c>
      <c r="G3">
        <v>1</v>
      </c>
      <c r="H3" s="7"/>
      <c r="I3" s="7">
        <v>21</v>
      </c>
      <c r="J3" s="7" t="s">
        <v>153</v>
      </c>
      <c r="L3" s="19" t="s">
        <v>24</v>
      </c>
      <c r="M3" s="22">
        <f>SUM(M4:M23)</f>
        <v>57.5</v>
      </c>
      <c r="N3" s="3" t="s">
        <v>16</v>
      </c>
      <c r="O3" s="3">
        <f>SUM(F3:H30)</f>
        <v>35.25</v>
      </c>
      <c r="P3" s="3"/>
    </row>
    <row r="4" spans="1:17" ht="16.5" x14ac:dyDescent="0.3">
      <c r="A4" s="8">
        <v>46055</v>
      </c>
      <c r="B4" s="105">
        <v>1</v>
      </c>
      <c r="C4" s="14"/>
      <c r="D4" s="14">
        <v>0.5</v>
      </c>
      <c r="E4" s="14"/>
      <c r="F4" s="14"/>
      <c r="G4" s="7">
        <v>0.5</v>
      </c>
      <c r="H4" s="7"/>
      <c r="I4" s="7">
        <v>15</v>
      </c>
      <c r="J4" s="108" t="s">
        <v>169</v>
      </c>
      <c r="K4" s="7"/>
      <c r="L4" s="105" t="s">
        <v>155</v>
      </c>
      <c r="M4" s="105">
        <v>6.5</v>
      </c>
      <c r="N4" s="3"/>
      <c r="O4" s="3"/>
      <c r="P4" s="3">
        <v>-1</v>
      </c>
    </row>
    <row r="5" spans="1:17" ht="16.5" x14ac:dyDescent="0.3">
      <c r="A5" s="8">
        <v>46056</v>
      </c>
      <c r="B5" s="105">
        <v>0.75</v>
      </c>
      <c r="C5" s="14"/>
      <c r="D5" s="14"/>
      <c r="E5" s="14">
        <v>1.5</v>
      </c>
      <c r="F5" s="14"/>
      <c r="G5" s="7"/>
      <c r="H5" s="7"/>
      <c r="I5" s="7">
        <v>15</v>
      </c>
      <c r="J5" s="108" t="s">
        <v>170</v>
      </c>
      <c r="K5" s="7" t="s">
        <v>159</v>
      </c>
      <c r="L5" s="105" t="s">
        <v>188</v>
      </c>
      <c r="M5" s="105"/>
      <c r="N5" s="3"/>
      <c r="O5" s="3"/>
      <c r="P5" s="3"/>
    </row>
    <row r="6" spans="1:17" ht="16.5" x14ac:dyDescent="0.3">
      <c r="A6" s="8">
        <v>46057</v>
      </c>
      <c r="B6" s="105">
        <v>0.75</v>
      </c>
      <c r="C6" s="14"/>
      <c r="D6" s="14"/>
      <c r="E6" s="14">
        <v>1.5</v>
      </c>
      <c r="F6" s="14"/>
      <c r="G6" s="7"/>
      <c r="H6" s="7"/>
      <c r="I6" s="7"/>
      <c r="J6" s="108"/>
      <c r="K6" s="7" t="s">
        <v>158</v>
      </c>
      <c r="L6" s="105" t="s">
        <v>134</v>
      </c>
      <c r="M6" s="105">
        <v>1</v>
      </c>
      <c r="N6" s="16" t="s">
        <v>19</v>
      </c>
      <c r="O6" s="16" t="s">
        <v>21</v>
      </c>
      <c r="P6" s="3"/>
    </row>
    <row r="7" spans="1:17" ht="16.5" x14ac:dyDescent="0.3">
      <c r="A7" s="8">
        <v>46058</v>
      </c>
      <c r="B7" s="105"/>
      <c r="C7" s="14"/>
      <c r="D7" s="14"/>
      <c r="E7" s="14"/>
      <c r="F7" s="14"/>
      <c r="G7" s="7"/>
      <c r="H7" s="7"/>
      <c r="I7" s="7"/>
      <c r="J7" s="108"/>
      <c r="K7" s="7"/>
      <c r="L7" s="105" t="s">
        <v>191</v>
      </c>
      <c r="M7" s="105">
        <v>0.5</v>
      </c>
      <c r="N7" s="30" t="s">
        <v>123</v>
      </c>
      <c r="O7" s="31" t="s">
        <v>173</v>
      </c>
      <c r="P7" s="3"/>
    </row>
    <row r="8" spans="1:17" ht="16.5" x14ac:dyDescent="0.3">
      <c r="A8" s="8">
        <v>46059</v>
      </c>
      <c r="B8" s="105"/>
      <c r="C8" s="14"/>
      <c r="D8" s="14"/>
      <c r="E8" s="14"/>
      <c r="F8" s="14"/>
      <c r="G8" s="7"/>
      <c r="H8" s="7"/>
      <c r="I8" s="7"/>
      <c r="J8" s="108"/>
      <c r="K8" s="12"/>
      <c r="L8" s="105"/>
      <c r="M8" s="105"/>
      <c r="N8" s="40" t="s">
        <v>126</v>
      </c>
      <c r="O8" s="32" t="s">
        <v>62</v>
      </c>
      <c r="P8" s="3">
        <v>-3</v>
      </c>
    </row>
    <row r="9" spans="1:17" ht="16.5" x14ac:dyDescent="0.3">
      <c r="A9" s="8">
        <v>46060</v>
      </c>
      <c r="B9" s="105"/>
      <c r="C9" s="14">
        <v>0.5</v>
      </c>
      <c r="D9" s="14">
        <v>1.5</v>
      </c>
      <c r="E9" s="14">
        <v>2.75</v>
      </c>
      <c r="F9" s="14">
        <v>1.5</v>
      </c>
      <c r="G9" s="7">
        <v>4</v>
      </c>
      <c r="H9" s="7"/>
      <c r="I9" s="7"/>
      <c r="J9" s="108"/>
      <c r="K9" s="7" t="s">
        <v>156</v>
      </c>
      <c r="L9" s="105"/>
      <c r="M9" s="105"/>
      <c r="N9" s="103" t="s">
        <v>127</v>
      </c>
      <c r="O9" s="103" t="s">
        <v>129</v>
      </c>
      <c r="P9" s="3"/>
    </row>
    <row r="10" spans="1:17" ht="16.5" x14ac:dyDescent="0.3">
      <c r="A10" s="8">
        <v>46061</v>
      </c>
      <c r="B10" s="105">
        <v>0.5</v>
      </c>
      <c r="C10" s="14">
        <v>5</v>
      </c>
      <c r="D10" s="14">
        <v>1.5</v>
      </c>
      <c r="E10" s="14"/>
      <c r="F10" s="14">
        <v>1</v>
      </c>
      <c r="G10" s="7">
        <v>0.5</v>
      </c>
      <c r="H10" s="7"/>
      <c r="I10" s="7">
        <v>5</v>
      </c>
      <c r="J10" s="108" t="s">
        <v>168</v>
      </c>
      <c r="K10" s="7" t="s">
        <v>171</v>
      </c>
      <c r="L10" s="105"/>
      <c r="M10" s="105"/>
      <c r="N10" s="32" t="s">
        <v>128</v>
      </c>
      <c r="O10" s="75" t="s">
        <v>130</v>
      </c>
      <c r="P10" s="3"/>
    </row>
    <row r="11" spans="1:17" ht="16.5" x14ac:dyDescent="0.3">
      <c r="A11" s="8">
        <v>46062</v>
      </c>
      <c r="B11" s="105"/>
      <c r="C11" s="14">
        <v>1</v>
      </c>
      <c r="D11" s="14">
        <v>4</v>
      </c>
      <c r="E11" s="14"/>
      <c r="F11" s="14"/>
      <c r="G11" s="7"/>
      <c r="H11" s="7"/>
      <c r="I11" s="7">
        <v>8</v>
      </c>
      <c r="J11" s="108" t="s">
        <v>181</v>
      </c>
      <c r="K11" s="7" t="s">
        <v>160</v>
      </c>
      <c r="L11" s="105"/>
      <c r="M11" s="105"/>
      <c r="N11" s="40" t="s">
        <v>125</v>
      </c>
      <c r="O11" s="32" t="s">
        <v>63</v>
      </c>
      <c r="P11" s="3"/>
    </row>
    <row r="12" spans="1:17" ht="16.5" x14ac:dyDescent="0.3">
      <c r="A12" s="8">
        <v>46063</v>
      </c>
      <c r="B12" s="105">
        <v>1.5</v>
      </c>
      <c r="C12" s="14"/>
      <c r="D12">
        <v>2</v>
      </c>
      <c r="F12">
        <v>0.5</v>
      </c>
      <c r="I12" s="15">
        <v>40</v>
      </c>
      <c r="J12" s="107" t="s">
        <v>182</v>
      </c>
      <c r="K12" s="3" t="s">
        <v>161</v>
      </c>
      <c r="L12" s="105"/>
      <c r="M12" s="105"/>
      <c r="N12" s="103" t="s">
        <v>131</v>
      </c>
      <c r="O12" s="103" t="s">
        <v>59</v>
      </c>
      <c r="P12" s="3">
        <v>3</v>
      </c>
    </row>
    <row r="13" spans="1:17" ht="16.5" x14ac:dyDescent="0.3">
      <c r="A13" s="8">
        <v>46064</v>
      </c>
      <c r="B13" s="105">
        <v>0</v>
      </c>
      <c r="C13" s="14"/>
      <c r="D13" s="14">
        <v>1.5</v>
      </c>
      <c r="E13" s="14"/>
      <c r="F13" s="14">
        <v>0.5</v>
      </c>
      <c r="G13" s="7">
        <v>2</v>
      </c>
      <c r="H13" s="7"/>
      <c r="I13" s="7"/>
      <c r="J13" s="108"/>
      <c r="K13" s="7" t="s">
        <v>172</v>
      </c>
      <c r="L13" s="105" t="s">
        <v>189</v>
      </c>
      <c r="M13" s="105">
        <v>3.5</v>
      </c>
      <c r="N13" s="40" t="s">
        <v>135</v>
      </c>
      <c r="O13" s="40" t="s">
        <v>134</v>
      </c>
      <c r="P13" s="3"/>
    </row>
    <row r="14" spans="1:17" ht="34.5" customHeight="1" x14ac:dyDescent="0.3">
      <c r="A14" s="8">
        <v>46065</v>
      </c>
      <c r="B14" s="105"/>
      <c r="C14" s="14"/>
      <c r="D14" s="14"/>
      <c r="E14" s="14"/>
      <c r="F14" s="14"/>
      <c r="G14" s="7"/>
      <c r="H14" s="7"/>
      <c r="I14" s="7"/>
      <c r="J14" s="108"/>
      <c r="K14" s="109" t="s">
        <v>175</v>
      </c>
      <c r="L14" s="105" t="s">
        <v>226</v>
      </c>
      <c r="M14" s="105">
        <v>2.75</v>
      </c>
      <c r="N14" s="36" t="s">
        <v>132</v>
      </c>
      <c r="O14" s="36" t="s">
        <v>133</v>
      </c>
      <c r="P14" s="3"/>
    </row>
    <row r="15" spans="1:17" ht="16.5" x14ac:dyDescent="0.3">
      <c r="A15" s="8">
        <v>46066</v>
      </c>
      <c r="B15" s="105">
        <v>3</v>
      </c>
      <c r="C15" s="14"/>
      <c r="D15" s="14">
        <v>0.5</v>
      </c>
      <c r="E15" s="14">
        <v>0.5</v>
      </c>
      <c r="F15" s="14"/>
      <c r="G15" s="7">
        <v>1</v>
      </c>
      <c r="H15" s="7"/>
      <c r="I15" s="7"/>
      <c r="J15" s="108"/>
      <c r="K15" s="109" t="s">
        <v>76</v>
      </c>
      <c r="L15" s="105" t="s">
        <v>167</v>
      </c>
      <c r="M15" s="105">
        <v>5.75</v>
      </c>
      <c r="N15" s="33" t="s">
        <v>54</v>
      </c>
      <c r="O15" s="33" t="s">
        <v>3</v>
      </c>
      <c r="P15" s="3"/>
    </row>
    <row r="16" spans="1:17" ht="16.5" x14ac:dyDescent="0.3">
      <c r="A16" s="8">
        <v>46067</v>
      </c>
      <c r="B16" s="105"/>
      <c r="C16" s="14"/>
      <c r="D16" s="14"/>
      <c r="E16" s="14"/>
      <c r="F16" s="14"/>
      <c r="G16" s="7"/>
      <c r="H16" s="7"/>
      <c r="I16" s="7"/>
      <c r="J16" s="108"/>
      <c r="K16" s="109" t="s">
        <v>175</v>
      </c>
      <c r="L16" s="105" t="s">
        <v>166</v>
      </c>
      <c r="M16" s="105">
        <v>1.75</v>
      </c>
      <c r="N16" s="33" t="s">
        <v>136</v>
      </c>
      <c r="O16" s="33" t="s">
        <v>55</v>
      </c>
      <c r="P16" s="3"/>
    </row>
    <row r="17" spans="1:16" ht="16.5" x14ac:dyDescent="0.3">
      <c r="A17" s="8">
        <v>46068</v>
      </c>
      <c r="B17" s="105"/>
      <c r="C17" s="14"/>
      <c r="D17" s="14"/>
      <c r="E17" s="14"/>
      <c r="F17" s="14"/>
      <c r="G17" s="7"/>
      <c r="H17" s="7"/>
      <c r="I17" s="7"/>
      <c r="J17" s="108"/>
      <c r="K17" s="109" t="s">
        <v>175</v>
      </c>
      <c r="L17" s="105" t="s">
        <v>90</v>
      </c>
      <c r="M17" s="105">
        <v>1</v>
      </c>
      <c r="N17" s="33" t="s">
        <v>137</v>
      </c>
      <c r="O17" s="33" t="s">
        <v>40</v>
      </c>
      <c r="P17" s="3"/>
    </row>
    <row r="18" spans="1:16" ht="33" x14ac:dyDescent="0.3">
      <c r="A18" s="8">
        <v>46069</v>
      </c>
      <c r="B18" s="105"/>
      <c r="C18" s="14"/>
      <c r="D18" s="14"/>
      <c r="E18" s="14"/>
      <c r="F18" s="14"/>
      <c r="G18" s="7"/>
      <c r="H18" s="7"/>
      <c r="I18" s="7"/>
      <c r="J18" s="108"/>
      <c r="K18" s="109" t="s">
        <v>175</v>
      </c>
      <c r="L18" s="105" t="s">
        <v>178</v>
      </c>
      <c r="M18" s="105">
        <v>4.25</v>
      </c>
      <c r="N18" s="103" t="s">
        <v>71</v>
      </c>
      <c r="O18" s="103"/>
      <c r="P18" s="3"/>
    </row>
    <row r="19" spans="1:16" ht="16.5" x14ac:dyDescent="0.3">
      <c r="A19" s="8">
        <v>46070</v>
      </c>
      <c r="B19" s="105"/>
      <c r="C19" s="14"/>
      <c r="D19" s="14"/>
      <c r="E19" s="14"/>
      <c r="F19" s="14">
        <v>1</v>
      </c>
      <c r="G19" s="7">
        <v>3</v>
      </c>
      <c r="H19" s="7"/>
      <c r="I19" s="7"/>
      <c r="J19" s="108"/>
      <c r="K19" s="109" t="s">
        <v>179</v>
      </c>
      <c r="L19" s="105" t="s">
        <v>157</v>
      </c>
      <c r="M19" s="105">
        <v>2</v>
      </c>
      <c r="N19" s="39"/>
      <c r="O19" s="103"/>
      <c r="P19" s="2"/>
    </row>
    <row r="20" spans="1:16" ht="16.5" x14ac:dyDescent="0.3">
      <c r="A20" s="8">
        <v>46071</v>
      </c>
      <c r="B20" s="105"/>
      <c r="C20" s="14"/>
      <c r="D20" s="14"/>
      <c r="E20" s="14">
        <v>1.5</v>
      </c>
      <c r="F20" s="7">
        <v>1.5</v>
      </c>
      <c r="G20" s="7"/>
      <c r="H20" s="7"/>
      <c r="I20" s="7"/>
      <c r="J20" s="108"/>
      <c r="K20" s="109" t="s">
        <v>176</v>
      </c>
      <c r="L20" s="105" t="s">
        <v>151</v>
      </c>
      <c r="M20" s="105">
        <v>5</v>
      </c>
      <c r="N20" s="72" t="s">
        <v>45</v>
      </c>
      <c r="O20" s="72">
        <v>10</v>
      </c>
      <c r="P20" s="2"/>
    </row>
    <row r="21" spans="1:16" ht="16.5" x14ac:dyDescent="0.3">
      <c r="A21" s="8">
        <v>46072</v>
      </c>
      <c r="B21" s="105">
        <v>1</v>
      </c>
      <c r="C21" s="14"/>
      <c r="D21" s="14">
        <v>0.5</v>
      </c>
      <c r="E21" s="14"/>
      <c r="F21" s="7">
        <v>1.75</v>
      </c>
      <c r="G21" s="7">
        <v>0.25</v>
      </c>
      <c r="H21" s="7">
        <v>0.5</v>
      </c>
      <c r="I21" s="7"/>
      <c r="J21" s="108"/>
      <c r="K21" s="7" t="s">
        <v>174</v>
      </c>
      <c r="L21" s="105" t="s">
        <v>177</v>
      </c>
      <c r="M21" s="105">
        <v>8.5</v>
      </c>
      <c r="N21" s="72" t="s">
        <v>46</v>
      </c>
      <c r="O21" s="72">
        <v>20</v>
      </c>
      <c r="P21" s="4"/>
    </row>
    <row r="22" spans="1:16" ht="16.5" x14ac:dyDescent="0.3">
      <c r="A22" s="8">
        <v>46073</v>
      </c>
      <c r="B22" s="105">
        <v>2</v>
      </c>
      <c r="C22" s="14"/>
      <c r="D22" s="14">
        <v>0.75</v>
      </c>
      <c r="E22" s="14">
        <v>2</v>
      </c>
      <c r="F22" s="7"/>
      <c r="G22" s="7"/>
      <c r="H22" s="7"/>
      <c r="I22" s="7">
        <v>19</v>
      </c>
      <c r="J22" s="108" t="s">
        <v>183</v>
      </c>
      <c r="K22" s="7" t="s">
        <v>180</v>
      </c>
      <c r="L22" s="104" t="s">
        <v>150</v>
      </c>
      <c r="M22" s="105">
        <v>15</v>
      </c>
      <c r="N22" s="72" t="s">
        <v>58</v>
      </c>
      <c r="O22" s="72">
        <v>30</v>
      </c>
      <c r="P22" s="4"/>
    </row>
    <row r="23" spans="1:16" ht="33" x14ac:dyDescent="0.3">
      <c r="A23" s="8">
        <v>46074</v>
      </c>
      <c r="B23" s="105">
        <v>7</v>
      </c>
      <c r="C23" s="14">
        <v>1.75</v>
      </c>
      <c r="D23" s="14">
        <v>0.5</v>
      </c>
      <c r="E23" s="14"/>
      <c r="F23" s="7">
        <v>2</v>
      </c>
      <c r="G23" s="7"/>
      <c r="H23" s="7"/>
      <c r="I23" s="7"/>
      <c r="J23" s="108" t="s">
        <v>223</v>
      </c>
      <c r="K23" s="5" t="s">
        <v>184</v>
      </c>
      <c r="L23" s="105"/>
      <c r="M23" s="10"/>
      <c r="N23" s="73" t="s">
        <v>47</v>
      </c>
      <c r="O23" s="73">
        <v>20</v>
      </c>
      <c r="P23" s="4"/>
    </row>
    <row r="24" spans="1:16" ht="16.5" x14ac:dyDescent="0.3">
      <c r="A24" s="8">
        <v>46075</v>
      </c>
      <c r="B24" s="105">
        <v>7</v>
      </c>
      <c r="C24" s="14">
        <v>1</v>
      </c>
      <c r="D24" s="14">
        <v>0.5</v>
      </c>
      <c r="E24" s="14">
        <v>0.5</v>
      </c>
      <c r="F24" s="7">
        <v>1.5</v>
      </c>
      <c r="G24" s="7">
        <v>1</v>
      </c>
      <c r="H24" s="7"/>
      <c r="I24" s="7">
        <v>35</v>
      </c>
      <c r="J24" s="108" t="s">
        <v>187</v>
      </c>
      <c r="K24" s="7" t="s">
        <v>186</v>
      </c>
      <c r="L24" s="21"/>
      <c r="M24" s="10"/>
      <c r="N24" s="73" t="s">
        <v>48</v>
      </c>
      <c r="O24" s="73">
        <v>10</v>
      </c>
    </row>
    <row r="25" spans="1:16" ht="16.5" x14ac:dyDescent="0.3">
      <c r="A25" s="8">
        <v>46076</v>
      </c>
      <c r="B25" s="105">
        <v>2.25</v>
      </c>
      <c r="C25" s="14"/>
      <c r="D25" s="14">
        <v>1.25</v>
      </c>
      <c r="E25" s="14"/>
      <c r="F25" s="7"/>
      <c r="G25" s="7"/>
      <c r="H25" s="7">
        <v>1</v>
      </c>
      <c r="J25" s="12" t="s">
        <v>224</v>
      </c>
      <c r="K25" s="7"/>
      <c r="L25" s="20"/>
      <c r="M25" s="10"/>
      <c r="N25" s="73" t="s">
        <v>22</v>
      </c>
      <c r="O25" s="73">
        <v>15</v>
      </c>
    </row>
    <row r="26" spans="1:16" ht="16.5" x14ac:dyDescent="0.3">
      <c r="A26" s="8">
        <v>46077</v>
      </c>
      <c r="B26" s="105">
        <v>1</v>
      </c>
      <c r="C26" s="14"/>
      <c r="D26" s="14"/>
      <c r="E26" s="14"/>
      <c r="F26" s="7"/>
      <c r="G26" s="7">
        <v>3.5</v>
      </c>
      <c r="H26" s="7"/>
      <c r="I26" s="7"/>
      <c r="J26" s="108"/>
      <c r="K26" s="7" t="s">
        <v>190</v>
      </c>
      <c r="L26" s="9"/>
      <c r="M26" s="10"/>
      <c r="N26" s="74"/>
      <c r="O26" s="74"/>
    </row>
    <row r="27" spans="1:16" ht="16.5" x14ac:dyDescent="0.3">
      <c r="A27" s="8">
        <v>46078</v>
      </c>
      <c r="B27" s="105"/>
      <c r="C27" s="14"/>
      <c r="D27" s="14"/>
      <c r="E27" s="14"/>
      <c r="F27" s="7"/>
      <c r="G27" s="7"/>
      <c r="H27" s="7"/>
      <c r="I27" s="7"/>
      <c r="J27" s="108"/>
      <c r="K27" s="7"/>
      <c r="L27" s="17"/>
      <c r="M27" s="10"/>
      <c r="N27" s="74" t="s">
        <v>59</v>
      </c>
      <c r="O27" s="74">
        <v>15</v>
      </c>
    </row>
    <row r="28" spans="1:16" ht="16.5" x14ac:dyDescent="0.3">
      <c r="A28" s="8">
        <v>46079</v>
      </c>
      <c r="B28" s="105"/>
      <c r="C28" s="14"/>
      <c r="D28" s="14"/>
      <c r="E28" s="14"/>
      <c r="F28" s="7"/>
      <c r="G28" s="7"/>
      <c r="H28" s="7"/>
      <c r="I28" s="7"/>
      <c r="J28" s="108"/>
      <c r="K28" s="7"/>
      <c r="L28" s="7"/>
    </row>
    <row r="29" spans="1:16" ht="16.5" x14ac:dyDescent="0.3">
      <c r="A29" s="8">
        <v>46080</v>
      </c>
      <c r="B29" s="105"/>
      <c r="C29" s="14"/>
      <c r="D29" s="14"/>
      <c r="E29" s="14"/>
      <c r="F29" s="7"/>
      <c r="G29" s="7"/>
      <c r="H29" s="7"/>
      <c r="I29" s="7"/>
      <c r="J29" s="108"/>
      <c r="K29" s="7"/>
      <c r="L29" s="7"/>
    </row>
    <row r="30" spans="1:16" ht="16.5" x14ac:dyDescent="0.3">
      <c r="A30" s="8">
        <v>46081</v>
      </c>
      <c r="B30" s="105">
        <v>3.75</v>
      </c>
      <c r="C30" s="14">
        <v>0.25</v>
      </c>
      <c r="D30" s="14">
        <v>1</v>
      </c>
      <c r="E30" s="14">
        <v>1.5</v>
      </c>
      <c r="F30" s="7">
        <v>2.25</v>
      </c>
      <c r="G30" s="7"/>
      <c r="H30" s="7">
        <v>2.5</v>
      </c>
      <c r="I30" s="7"/>
      <c r="J30" s="108" t="s">
        <v>225</v>
      </c>
      <c r="K30" s="5" t="s">
        <v>227</v>
      </c>
      <c r="L30" s="7"/>
    </row>
    <row r="31" spans="1:16" ht="16.5" x14ac:dyDescent="0.3">
      <c r="A31" s="7"/>
      <c r="B31" s="7"/>
      <c r="C31" s="7"/>
      <c r="D31" s="7"/>
      <c r="E31" s="7"/>
      <c r="F31" s="7">
        <v>15</v>
      </c>
      <c r="G31" s="7"/>
      <c r="H31" s="7"/>
      <c r="I31" s="7"/>
      <c r="J31" s="108"/>
      <c r="K31" s="7" t="s">
        <v>150</v>
      </c>
      <c r="L31" s="7"/>
    </row>
    <row r="32" spans="1:16" ht="16.5" x14ac:dyDescent="0.3">
      <c r="A32" s="7" t="s">
        <v>17</v>
      </c>
      <c r="B32" s="7">
        <v>3</v>
      </c>
      <c r="C32" s="7"/>
      <c r="D32" s="7"/>
      <c r="E32" s="7"/>
      <c r="F32" s="7"/>
      <c r="G32" s="7"/>
      <c r="H32" s="7"/>
      <c r="I32" s="7"/>
      <c r="J32" s="108"/>
      <c r="K32" s="7"/>
      <c r="L32" s="7"/>
    </row>
    <row r="33" spans="1:12" ht="16.5" x14ac:dyDescent="0.3">
      <c r="A33" s="7"/>
      <c r="B33" s="7"/>
      <c r="C33" s="7"/>
      <c r="D33" s="7"/>
      <c r="E33" s="7"/>
      <c r="F33" s="7"/>
      <c r="G33" s="7"/>
      <c r="H33" s="7"/>
      <c r="I33" s="7"/>
      <c r="J33" s="108"/>
      <c r="K33" s="7"/>
      <c r="L33" s="7"/>
    </row>
    <row r="34" spans="1:12" ht="16.5" x14ac:dyDescent="0.3">
      <c r="A34" s="7"/>
      <c r="B34" s="7"/>
      <c r="C34" s="7"/>
      <c r="D34" s="7"/>
      <c r="E34" s="7"/>
      <c r="F34" s="7"/>
      <c r="G34" s="7"/>
      <c r="H34" s="7"/>
      <c r="I34" s="7"/>
      <c r="J34" s="108"/>
      <c r="K34" s="7"/>
      <c r="L34" s="7"/>
    </row>
    <row r="51" spans="4:10" x14ac:dyDescent="0.25">
      <c r="D51" t="s">
        <v>20</v>
      </c>
      <c r="H51">
        <v>1</v>
      </c>
    </row>
    <row r="52" spans="4:10" s="11" customFormat="1" x14ac:dyDescent="0.25">
      <c r="I52" s="15"/>
      <c r="J52" s="107"/>
    </row>
    <row r="53" spans="4:10" x14ac:dyDescent="0.25">
      <c r="H53">
        <v>1</v>
      </c>
    </row>
    <row r="54" spans="4:10" x14ac:dyDescent="0.25">
      <c r="H54">
        <v>2</v>
      </c>
    </row>
    <row r="55" spans="4:10" x14ac:dyDescent="0.25">
      <c r="E55" s="13"/>
    </row>
    <row r="56" spans="4:10" x14ac:dyDescent="0.25">
      <c r="E56" s="13"/>
    </row>
    <row r="58" spans="4:10" x14ac:dyDescent="0.25">
      <c r="E58" s="13"/>
    </row>
  </sheetData>
  <sortState ref="L3:M27">
    <sortCondition descending="1" ref="M3:M27"/>
  </sortState>
  <mergeCells count="1">
    <mergeCell ref="P1:Q2"/>
  </mergeCells>
  <conditionalFormatting sqref="J1">
    <cfRule type="cellIs" priority="5" operator="lessThanOrEqual">
      <formula>$C$34</formula>
    </cfRule>
  </conditionalFormatting>
  <conditionalFormatting sqref="B3:B30">
    <cfRule type="cellIs" dxfId="60" priority="3" operator="lessThan">
      <formula>$B$32</formula>
    </cfRule>
    <cfRule type="cellIs" dxfId="59" priority="4" operator="greaterThan">
      <formula>$B$32</formula>
    </cfRule>
  </conditionalFormatting>
  <conditionalFormatting sqref="A3:A30">
    <cfRule type="expression" dxfId="58" priority="2">
      <formula>WEEKDAY(A3,2)&gt;5</formula>
    </cfRule>
  </conditionalFormatting>
  <conditionalFormatting sqref="I4:J11 I13:J30 I3">
    <cfRule type="colorScale" priority="1">
      <colorScale>
        <cfvo type="num" val="20"/>
        <cfvo type="num" val="5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workbookViewId="0">
      <pane ySplit="1" topLeftCell="A2" activePane="bottomLeft" state="frozen"/>
      <selection pane="bottomLeft" activeCell="K17" sqref="K17"/>
    </sheetView>
  </sheetViews>
  <sheetFormatPr defaultRowHeight="15" x14ac:dyDescent="0.25"/>
  <cols>
    <col min="1" max="1" width="10.85546875" style="110" customWidth="1"/>
    <col min="2" max="2" width="8.42578125" style="110" customWidth="1"/>
    <col min="3" max="3" width="9.5703125" style="110" customWidth="1"/>
    <col min="4" max="4" width="8.42578125" style="110" customWidth="1"/>
    <col min="5" max="5" width="11.5703125" style="110" customWidth="1"/>
    <col min="6" max="6" width="8.28515625" style="110" customWidth="1"/>
    <col min="7" max="7" width="9.140625" style="110"/>
    <col min="8" max="8" width="6.5703125" style="110" customWidth="1"/>
    <col min="9" max="9" width="10.28515625" style="110" customWidth="1"/>
    <col min="10" max="10" width="14.5703125" style="110" customWidth="1"/>
    <col min="11" max="11" width="47" style="110" customWidth="1"/>
    <col min="12" max="12" width="61.42578125" style="110" customWidth="1"/>
    <col min="13" max="13" width="12.5703125" style="110" customWidth="1"/>
    <col min="14" max="14" width="19.85546875" style="110" bestFit="1" customWidth="1"/>
    <col min="15" max="15" width="14.28515625" style="110" customWidth="1"/>
    <col min="16" max="16384" width="9.140625" style="110"/>
  </cols>
  <sheetData>
    <row r="1" spans="1:17" ht="53.25" customHeight="1" x14ac:dyDescent="0.3">
      <c r="A1" s="5" t="s">
        <v>12</v>
      </c>
      <c r="B1" s="123" t="s">
        <v>0</v>
      </c>
      <c r="C1" s="123" t="s">
        <v>42</v>
      </c>
      <c r="D1" s="123" t="s">
        <v>43</v>
      </c>
      <c r="E1" s="123" t="s">
        <v>41</v>
      </c>
      <c r="F1" s="123" t="s">
        <v>50</v>
      </c>
      <c r="G1" s="123" t="s">
        <v>1</v>
      </c>
      <c r="H1" s="123" t="s">
        <v>56</v>
      </c>
      <c r="I1" s="123" t="s">
        <v>74</v>
      </c>
      <c r="J1" s="34" t="s">
        <v>152</v>
      </c>
      <c r="L1" s="18" t="s">
        <v>2</v>
      </c>
      <c r="M1" s="6"/>
      <c r="N1" s="110" t="s">
        <v>14</v>
      </c>
      <c r="O1" s="110">
        <f>SUM(B3:B30)</f>
        <v>44.5</v>
      </c>
      <c r="P1" s="263" t="s">
        <v>154</v>
      </c>
      <c r="Q1" s="263"/>
    </row>
    <row r="2" spans="1:17" ht="16.5" x14ac:dyDescent="0.3">
      <c r="B2" s="117">
        <f>SUM(B3:B33)</f>
        <v>48.75</v>
      </c>
      <c r="C2" s="117">
        <f t="shared" ref="C2" si="0">SUM(C3:C33)</f>
        <v>19.25</v>
      </c>
      <c r="D2" s="117">
        <f>SUM(D3:D33)</f>
        <v>9</v>
      </c>
      <c r="E2" s="117">
        <f t="shared" ref="E2:H2" si="1">SUM(E3:E33)</f>
        <v>16.5</v>
      </c>
      <c r="F2" s="117">
        <f>SUM(F3:F33)</f>
        <v>33</v>
      </c>
      <c r="G2" s="117">
        <f t="shared" si="1"/>
        <v>80.25</v>
      </c>
      <c r="H2" s="117">
        <f t="shared" si="1"/>
        <v>4</v>
      </c>
      <c r="I2" s="117">
        <f>SUM(I3:I30)/60</f>
        <v>2.2833333333333332</v>
      </c>
      <c r="J2" s="117"/>
      <c r="K2" s="106">
        <f>SUM(E2:G2)</f>
        <v>129.75</v>
      </c>
      <c r="L2" s="112"/>
      <c r="M2" s="110" t="s">
        <v>13</v>
      </c>
      <c r="N2" s="122" t="s">
        <v>15</v>
      </c>
      <c r="O2" s="122">
        <f>SUM(C3:E30)</f>
        <v>36.75</v>
      </c>
      <c r="P2" s="263"/>
      <c r="Q2" s="263"/>
    </row>
    <row r="3" spans="1:17" ht="16.5" x14ac:dyDescent="0.3">
      <c r="A3" s="8">
        <v>46082</v>
      </c>
      <c r="B3" s="123">
        <v>2</v>
      </c>
      <c r="C3" s="118">
        <v>1.5</v>
      </c>
      <c r="D3" s="119">
        <v>0.5</v>
      </c>
      <c r="E3" s="119">
        <v>3.75</v>
      </c>
      <c r="F3" s="120">
        <v>4</v>
      </c>
      <c r="G3" s="88"/>
      <c r="H3" s="120"/>
      <c r="I3" s="117"/>
      <c r="J3" s="117"/>
      <c r="K3" s="112" t="s">
        <v>193</v>
      </c>
      <c r="L3" s="19" t="s">
        <v>24</v>
      </c>
      <c r="M3" s="130">
        <f>SUM(M4:M28)</f>
        <v>129.25</v>
      </c>
      <c r="N3" s="121" t="s">
        <v>16</v>
      </c>
      <c r="O3" s="121">
        <f>SUM(F3:H30)</f>
        <v>98.25</v>
      </c>
      <c r="P3" s="110">
        <f>SUM(P4:P32)</f>
        <v>14.5</v>
      </c>
    </row>
    <row r="4" spans="1:17" ht="16.5" x14ac:dyDescent="0.3">
      <c r="A4" s="8">
        <v>46083</v>
      </c>
      <c r="B4" s="123">
        <v>3</v>
      </c>
      <c r="C4" s="119">
        <v>0.5</v>
      </c>
      <c r="D4" s="119"/>
      <c r="E4" s="119">
        <v>0.5</v>
      </c>
      <c r="F4" s="119">
        <v>1</v>
      </c>
      <c r="G4" s="117"/>
      <c r="H4" s="117">
        <v>1.5</v>
      </c>
      <c r="I4" s="117">
        <v>20</v>
      </c>
      <c r="J4" s="117" t="s">
        <v>197</v>
      </c>
      <c r="K4" s="112" t="s">
        <v>198</v>
      </c>
      <c r="L4" s="123" t="s">
        <v>155</v>
      </c>
      <c r="M4" s="131">
        <v>3</v>
      </c>
      <c r="P4" s="110">
        <v>1.5</v>
      </c>
    </row>
    <row r="5" spans="1:17" ht="16.5" x14ac:dyDescent="0.3">
      <c r="A5" s="8">
        <v>46084</v>
      </c>
      <c r="B5" s="123">
        <v>3</v>
      </c>
      <c r="C5" s="119"/>
      <c r="D5" s="119">
        <v>0.25</v>
      </c>
      <c r="E5" s="119"/>
      <c r="F5" s="119"/>
      <c r="G5" s="117"/>
      <c r="H5" s="117">
        <v>0.5</v>
      </c>
      <c r="I5" s="117">
        <v>30</v>
      </c>
      <c r="J5" s="117" t="s">
        <v>199</v>
      </c>
      <c r="K5" s="112"/>
      <c r="L5" s="123" t="s">
        <v>192</v>
      </c>
      <c r="M5" s="132">
        <v>0.75</v>
      </c>
      <c r="N5" s="110" t="s">
        <v>196</v>
      </c>
      <c r="P5" s="110">
        <v>1</v>
      </c>
    </row>
    <row r="6" spans="1:17" ht="30" x14ac:dyDescent="0.3">
      <c r="A6" s="8">
        <v>46085</v>
      </c>
      <c r="B6" s="123">
        <v>4.25</v>
      </c>
      <c r="C6" s="119">
        <v>0.5</v>
      </c>
      <c r="D6" s="119">
        <v>1.25</v>
      </c>
      <c r="E6" s="119"/>
      <c r="F6" s="119">
        <v>0.5</v>
      </c>
      <c r="G6" s="117">
        <v>1.5</v>
      </c>
      <c r="H6" s="117"/>
      <c r="I6" s="117">
        <v>17</v>
      </c>
      <c r="J6" s="117" t="s">
        <v>200</v>
      </c>
      <c r="K6" s="112" t="s">
        <v>201</v>
      </c>
      <c r="L6" s="149" t="s">
        <v>254</v>
      </c>
      <c r="M6" s="132"/>
      <c r="N6" s="16" t="s">
        <v>19</v>
      </c>
      <c r="O6" s="16" t="s">
        <v>21</v>
      </c>
    </row>
    <row r="7" spans="1:17" ht="16.5" x14ac:dyDescent="0.3">
      <c r="A7" s="8">
        <v>46086</v>
      </c>
      <c r="B7" s="123">
        <v>1.5</v>
      </c>
      <c r="C7" s="119"/>
      <c r="D7" s="119"/>
      <c r="E7" s="119"/>
      <c r="F7" s="119"/>
      <c r="G7" s="117">
        <v>2.5</v>
      </c>
      <c r="H7" s="117"/>
      <c r="I7" s="117">
        <v>15</v>
      </c>
      <c r="J7" s="112" t="s">
        <v>202</v>
      </c>
      <c r="K7" s="148" t="s">
        <v>205</v>
      </c>
      <c r="L7" s="123" t="s">
        <v>166</v>
      </c>
      <c r="M7" s="145">
        <v>1.5</v>
      </c>
      <c r="N7" s="124" t="s">
        <v>123</v>
      </c>
      <c r="O7" s="31" t="s">
        <v>173</v>
      </c>
    </row>
    <row r="8" spans="1:17" ht="16.5" x14ac:dyDescent="0.3">
      <c r="A8" s="8">
        <v>46087</v>
      </c>
      <c r="B8" s="123">
        <v>0</v>
      </c>
      <c r="C8" s="119"/>
      <c r="D8" s="119"/>
      <c r="E8" s="137"/>
      <c r="F8" s="119"/>
      <c r="G8" s="117">
        <v>3</v>
      </c>
      <c r="H8" s="117"/>
      <c r="K8" s="12" t="s">
        <v>211</v>
      </c>
      <c r="L8" s="123" t="s">
        <v>257</v>
      </c>
      <c r="M8" s="146">
        <v>2.5</v>
      </c>
      <c r="N8" s="125" t="s">
        <v>126</v>
      </c>
      <c r="O8" s="32" t="s">
        <v>62</v>
      </c>
    </row>
    <row r="9" spans="1:17" ht="16.5" x14ac:dyDescent="0.3">
      <c r="A9" s="8">
        <v>46088</v>
      </c>
      <c r="B9" s="123">
        <v>0.5</v>
      </c>
      <c r="C9" s="119">
        <v>0.5</v>
      </c>
      <c r="D9" s="119">
        <v>1</v>
      </c>
      <c r="E9" s="119"/>
      <c r="F9" s="119"/>
      <c r="G9" s="117">
        <v>9</v>
      </c>
      <c r="H9" s="117"/>
      <c r="I9" s="117">
        <v>24</v>
      </c>
      <c r="J9" s="117" t="s">
        <v>209</v>
      </c>
      <c r="K9" s="139" t="s">
        <v>208</v>
      </c>
      <c r="L9" s="123" t="s">
        <v>260</v>
      </c>
      <c r="M9" s="131">
        <v>5</v>
      </c>
      <c r="N9" s="110" t="s">
        <v>127</v>
      </c>
      <c r="O9" s="110" t="s">
        <v>129</v>
      </c>
    </row>
    <row r="10" spans="1:17" ht="16.5" x14ac:dyDescent="0.3">
      <c r="A10" s="8">
        <v>46089</v>
      </c>
      <c r="B10" s="123">
        <v>0</v>
      </c>
      <c r="C10" s="119">
        <v>4</v>
      </c>
      <c r="D10" s="119"/>
      <c r="E10" s="119"/>
      <c r="F10" s="119">
        <v>2</v>
      </c>
      <c r="G10" s="117">
        <v>6</v>
      </c>
      <c r="H10" s="117">
        <v>1</v>
      </c>
      <c r="I10" s="136"/>
      <c r="J10" s="117"/>
      <c r="K10" s="140" t="s">
        <v>206</v>
      </c>
      <c r="L10" s="123" t="s">
        <v>218</v>
      </c>
      <c r="M10" s="132">
        <v>16.5</v>
      </c>
      <c r="N10" s="126" t="s">
        <v>128</v>
      </c>
      <c r="O10" s="75" t="s">
        <v>130</v>
      </c>
    </row>
    <row r="11" spans="1:17" ht="16.5" x14ac:dyDescent="0.3">
      <c r="A11" s="8">
        <v>46090</v>
      </c>
      <c r="B11" s="123">
        <v>1.75</v>
      </c>
      <c r="C11" s="119"/>
      <c r="D11" s="119"/>
      <c r="E11" s="119"/>
      <c r="F11" s="119"/>
      <c r="G11" s="117">
        <v>2</v>
      </c>
      <c r="H11" s="117"/>
      <c r="I11" s="135">
        <v>11</v>
      </c>
      <c r="J11" s="117" t="s">
        <v>210</v>
      </c>
      <c r="K11" s="141" t="s">
        <v>207</v>
      </c>
      <c r="L11" s="123" t="s">
        <v>234</v>
      </c>
      <c r="M11" s="132">
        <v>7.75</v>
      </c>
      <c r="N11" s="125" t="s">
        <v>125</v>
      </c>
      <c r="O11" s="32" t="s">
        <v>63</v>
      </c>
    </row>
    <row r="12" spans="1:17" ht="16.5" x14ac:dyDescent="0.3">
      <c r="A12" s="8">
        <v>46091</v>
      </c>
      <c r="B12" s="123">
        <v>3</v>
      </c>
      <c r="C12" s="119">
        <v>0.75</v>
      </c>
      <c r="D12" s="88"/>
      <c r="E12" s="88"/>
      <c r="F12" s="88">
        <v>0.5</v>
      </c>
      <c r="G12" s="88">
        <v>6</v>
      </c>
      <c r="H12" s="88"/>
      <c r="I12" s="88"/>
      <c r="J12" s="88" t="s">
        <v>213</v>
      </c>
      <c r="K12" s="142" t="s">
        <v>220</v>
      </c>
      <c r="L12" s="123" t="s">
        <v>215</v>
      </c>
      <c r="M12" s="132">
        <v>6</v>
      </c>
      <c r="N12" s="110" t="s">
        <v>131</v>
      </c>
      <c r="O12" s="110" t="s">
        <v>59</v>
      </c>
    </row>
    <row r="13" spans="1:17" ht="16.5" x14ac:dyDescent="0.3">
      <c r="A13" s="8">
        <v>46092</v>
      </c>
      <c r="B13" s="123">
        <v>2</v>
      </c>
      <c r="C13" s="119"/>
      <c r="D13" s="119">
        <v>1.25</v>
      </c>
      <c r="E13" s="119"/>
      <c r="F13" s="119"/>
      <c r="G13" s="117">
        <v>4</v>
      </c>
      <c r="H13" s="117"/>
      <c r="I13" s="117"/>
      <c r="J13" s="117"/>
      <c r="K13" s="141" t="s">
        <v>222</v>
      </c>
      <c r="L13" s="123" t="s">
        <v>221</v>
      </c>
      <c r="M13" s="132">
        <v>3</v>
      </c>
      <c r="N13" s="125" t="s">
        <v>135</v>
      </c>
      <c r="O13" s="40" t="s">
        <v>134</v>
      </c>
      <c r="P13" s="110">
        <v>6</v>
      </c>
    </row>
    <row r="14" spans="1:17" ht="34.5" customHeight="1" x14ac:dyDescent="0.3">
      <c r="A14" s="8">
        <v>46093</v>
      </c>
      <c r="B14" s="123"/>
      <c r="C14" s="119"/>
      <c r="D14" s="119"/>
      <c r="E14" s="119"/>
      <c r="F14" s="119"/>
      <c r="G14" s="117">
        <v>2.5</v>
      </c>
      <c r="H14" s="117"/>
      <c r="I14" s="117"/>
      <c r="J14" s="117"/>
      <c r="K14" s="143" t="s">
        <v>216</v>
      </c>
      <c r="L14" s="123" t="s">
        <v>248</v>
      </c>
      <c r="M14" s="133">
        <v>17.5</v>
      </c>
      <c r="N14" s="36" t="s">
        <v>132</v>
      </c>
      <c r="O14" s="36" t="s">
        <v>133</v>
      </c>
    </row>
    <row r="15" spans="1:17" ht="16.5" x14ac:dyDescent="0.3">
      <c r="A15" s="8">
        <v>46094</v>
      </c>
      <c r="B15" s="123"/>
      <c r="C15" s="119"/>
      <c r="D15" s="119">
        <v>0.5</v>
      </c>
      <c r="E15" s="119"/>
      <c r="F15" s="119"/>
      <c r="G15" s="117">
        <v>1.5</v>
      </c>
      <c r="H15" s="117"/>
      <c r="I15" s="117"/>
      <c r="J15" s="117"/>
      <c r="K15" s="143" t="s">
        <v>214</v>
      </c>
      <c r="L15" s="123" t="s">
        <v>195</v>
      </c>
      <c r="M15" s="134">
        <v>2</v>
      </c>
      <c r="N15" s="127" t="s">
        <v>54</v>
      </c>
      <c r="O15" s="33" t="s">
        <v>3</v>
      </c>
    </row>
    <row r="16" spans="1:17" ht="16.5" x14ac:dyDescent="0.3">
      <c r="A16" s="8">
        <v>46095</v>
      </c>
      <c r="B16" s="123"/>
      <c r="C16" s="119"/>
      <c r="D16" s="119"/>
      <c r="E16" s="119"/>
      <c r="F16" s="119"/>
      <c r="G16" s="117">
        <v>6.5</v>
      </c>
      <c r="H16" s="117"/>
      <c r="I16" s="117"/>
      <c r="J16" s="117"/>
      <c r="K16" s="143" t="s">
        <v>217</v>
      </c>
      <c r="L16" s="123" t="s">
        <v>203</v>
      </c>
      <c r="M16" s="132">
        <v>2</v>
      </c>
      <c r="N16" s="127" t="s">
        <v>136</v>
      </c>
      <c r="O16" s="33" t="s">
        <v>55</v>
      </c>
    </row>
    <row r="17" spans="1:16" ht="30.75" x14ac:dyDescent="0.3">
      <c r="A17" s="8">
        <v>46096</v>
      </c>
      <c r="B17" s="123"/>
      <c r="C17" s="119">
        <v>2</v>
      </c>
      <c r="D17" s="119"/>
      <c r="E17" s="119"/>
      <c r="F17" s="119">
        <v>1.5</v>
      </c>
      <c r="G17" s="117">
        <v>6</v>
      </c>
      <c r="H17" s="117"/>
      <c r="I17" s="117"/>
      <c r="J17" s="117"/>
      <c r="K17" s="143" t="s">
        <v>219</v>
      </c>
      <c r="L17" s="123" t="s">
        <v>204</v>
      </c>
      <c r="M17" s="132">
        <v>5</v>
      </c>
      <c r="N17" s="127" t="s">
        <v>137</v>
      </c>
      <c r="O17" s="33" t="s">
        <v>40</v>
      </c>
    </row>
    <row r="18" spans="1:16" ht="16.5" x14ac:dyDescent="0.3">
      <c r="A18" s="8">
        <v>46097</v>
      </c>
      <c r="B18" s="123"/>
      <c r="C18" s="119"/>
      <c r="D18" s="119"/>
      <c r="E18" s="119"/>
      <c r="F18" s="119"/>
      <c r="G18" s="117"/>
      <c r="H18" s="117"/>
      <c r="I18" s="117"/>
      <c r="J18" s="117"/>
      <c r="K18" s="143" t="s">
        <v>230</v>
      </c>
      <c r="L18" s="123" t="s">
        <v>212</v>
      </c>
      <c r="M18" s="132">
        <v>12</v>
      </c>
      <c r="N18" s="110" t="s">
        <v>71</v>
      </c>
    </row>
    <row r="19" spans="1:16" ht="16.5" x14ac:dyDescent="0.3">
      <c r="A19" s="8">
        <v>46098</v>
      </c>
      <c r="B19" s="123">
        <v>2</v>
      </c>
      <c r="C19" s="119"/>
      <c r="D19" s="119">
        <v>0.25</v>
      </c>
      <c r="E19" s="119"/>
      <c r="F19" s="119"/>
      <c r="G19" s="117"/>
      <c r="H19" s="117"/>
      <c r="I19" s="117"/>
      <c r="J19" s="117"/>
      <c r="K19" s="144" t="s">
        <v>229</v>
      </c>
      <c r="L19" s="123" t="s">
        <v>145</v>
      </c>
      <c r="M19" s="145">
        <v>8</v>
      </c>
      <c r="N19" s="128"/>
      <c r="P19" s="111"/>
    </row>
    <row r="20" spans="1:16" ht="16.5" x14ac:dyDescent="0.3">
      <c r="A20" s="8">
        <v>46099</v>
      </c>
      <c r="B20" s="123">
        <v>0.5</v>
      </c>
      <c r="C20" s="119"/>
      <c r="D20" s="119"/>
      <c r="E20" s="119">
        <v>0.5</v>
      </c>
      <c r="F20" s="117">
        <v>1.5</v>
      </c>
      <c r="G20" s="117">
        <v>2</v>
      </c>
      <c r="H20" s="117">
        <v>0.5</v>
      </c>
      <c r="I20" s="117"/>
      <c r="J20" s="117" t="s">
        <v>233</v>
      </c>
      <c r="K20" s="138" t="s">
        <v>235</v>
      </c>
      <c r="L20" s="123" t="s">
        <v>261</v>
      </c>
      <c r="M20" s="147">
        <v>6</v>
      </c>
      <c r="N20" s="129" t="s">
        <v>45</v>
      </c>
      <c r="O20" s="72">
        <v>10</v>
      </c>
      <c r="P20" s="111"/>
    </row>
    <row r="21" spans="1:16" ht="33" x14ac:dyDescent="0.3">
      <c r="A21" s="8">
        <v>46100</v>
      </c>
      <c r="B21" s="123">
        <v>3.5</v>
      </c>
      <c r="C21" s="119"/>
      <c r="D21" s="119">
        <v>0.75</v>
      </c>
      <c r="E21" s="119"/>
      <c r="F21" s="117">
        <v>0.5</v>
      </c>
      <c r="G21" s="117">
        <v>5.5</v>
      </c>
      <c r="H21" s="117"/>
      <c r="I21" s="117"/>
      <c r="J21" s="117" t="s">
        <v>232</v>
      </c>
      <c r="K21" s="150" t="s">
        <v>231</v>
      </c>
      <c r="L21" s="123" t="s">
        <v>236</v>
      </c>
      <c r="M21" s="134">
        <v>3.5</v>
      </c>
      <c r="N21" s="129" t="s">
        <v>46</v>
      </c>
      <c r="O21" s="72">
        <v>20</v>
      </c>
      <c r="P21" s="86"/>
    </row>
    <row r="22" spans="1:16" ht="16.5" x14ac:dyDescent="0.3">
      <c r="A22" s="8">
        <v>46101</v>
      </c>
      <c r="B22" s="123">
        <v>2</v>
      </c>
      <c r="C22" s="119">
        <v>0.5</v>
      </c>
      <c r="D22" s="119"/>
      <c r="E22" s="119"/>
      <c r="F22" s="117">
        <v>1</v>
      </c>
      <c r="G22" s="117">
        <v>3</v>
      </c>
      <c r="H22" s="117">
        <v>0.5</v>
      </c>
      <c r="I22" s="117"/>
      <c r="J22" s="117" t="s">
        <v>237</v>
      </c>
      <c r="K22" s="115"/>
      <c r="L22" s="110" t="s">
        <v>238</v>
      </c>
      <c r="M22" s="151">
        <v>5</v>
      </c>
      <c r="N22" s="129" t="s">
        <v>58</v>
      </c>
      <c r="O22" s="72">
        <v>30</v>
      </c>
      <c r="P22" s="86"/>
    </row>
    <row r="23" spans="1:16" ht="16.5" x14ac:dyDescent="0.3">
      <c r="A23" s="8">
        <v>46102</v>
      </c>
      <c r="B23" s="123">
        <v>3.25</v>
      </c>
      <c r="C23" s="119">
        <v>0.5</v>
      </c>
      <c r="D23" s="119">
        <v>1</v>
      </c>
      <c r="E23" s="119"/>
      <c r="F23" s="117"/>
      <c r="G23" s="117">
        <v>3.5</v>
      </c>
      <c r="H23" s="117"/>
      <c r="I23" s="117"/>
      <c r="J23" s="117" t="s">
        <v>247</v>
      </c>
      <c r="K23" s="116" t="s">
        <v>246</v>
      </c>
      <c r="L23" s="105" t="s">
        <v>240</v>
      </c>
      <c r="M23" s="10">
        <v>0.5</v>
      </c>
      <c r="N23" s="73" t="s">
        <v>47</v>
      </c>
      <c r="O23" s="73">
        <v>20</v>
      </c>
      <c r="P23" s="86"/>
    </row>
    <row r="24" spans="1:16" ht="33" x14ac:dyDescent="0.3">
      <c r="A24" s="8">
        <v>46103</v>
      </c>
      <c r="B24" s="123"/>
      <c r="C24" s="119">
        <v>5</v>
      </c>
      <c r="D24" s="119"/>
      <c r="E24" s="119">
        <v>3.5</v>
      </c>
      <c r="F24" s="117">
        <v>2</v>
      </c>
      <c r="G24" s="117">
        <v>3.5</v>
      </c>
      <c r="H24" s="117"/>
      <c r="I24" s="117"/>
      <c r="J24" s="117"/>
      <c r="K24" s="5" t="s">
        <v>250</v>
      </c>
      <c r="L24" s="123" t="s">
        <v>150</v>
      </c>
      <c r="M24" s="133">
        <v>15</v>
      </c>
      <c r="N24" s="73" t="s">
        <v>48</v>
      </c>
      <c r="O24" s="73">
        <v>10</v>
      </c>
    </row>
    <row r="25" spans="1:16" ht="16.5" x14ac:dyDescent="0.3">
      <c r="A25" s="8">
        <v>46104</v>
      </c>
      <c r="B25" s="123">
        <v>2.25</v>
      </c>
      <c r="C25" s="119"/>
      <c r="D25" s="119">
        <v>0.5</v>
      </c>
      <c r="E25" s="119"/>
      <c r="F25" s="117"/>
      <c r="G25" s="117"/>
      <c r="H25" s="117"/>
      <c r="I25" s="88"/>
      <c r="J25" s="88" t="s">
        <v>252</v>
      </c>
      <c r="K25" s="112"/>
      <c r="L25" s="20" t="s">
        <v>244</v>
      </c>
      <c r="M25" s="10">
        <v>0.75</v>
      </c>
      <c r="N25" s="73" t="s">
        <v>22</v>
      </c>
      <c r="O25" s="73">
        <v>15</v>
      </c>
    </row>
    <row r="26" spans="1:16" ht="16.5" x14ac:dyDescent="0.3">
      <c r="A26" s="8">
        <v>46105</v>
      </c>
      <c r="B26" s="123">
        <v>1.5</v>
      </c>
      <c r="C26" s="119"/>
      <c r="D26" s="119"/>
      <c r="E26" s="119">
        <v>0.75</v>
      </c>
      <c r="F26" s="117"/>
      <c r="G26" s="117">
        <v>0.25</v>
      </c>
      <c r="H26" s="117"/>
      <c r="I26" s="117"/>
      <c r="J26" s="117" t="s">
        <v>245</v>
      </c>
      <c r="K26" s="112"/>
      <c r="L26" s="9" t="s">
        <v>249</v>
      </c>
      <c r="M26" s="10">
        <v>3.5</v>
      </c>
      <c r="N26" s="74"/>
      <c r="O26" s="74"/>
    </row>
    <row r="27" spans="1:16" ht="16.5" x14ac:dyDescent="0.3">
      <c r="A27" s="8">
        <v>46106</v>
      </c>
      <c r="B27" s="123">
        <v>2</v>
      </c>
      <c r="C27" s="119"/>
      <c r="D27" s="119"/>
      <c r="E27" s="119">
        <v>0.5</v>
      </c>
      <c r="F27" s="117"/>
      <c r="G27" s="117">
        <v>5.5</v>
      </c>
      <c r="H27" s="117"/>
      <c r="I27" s="117"/>
      <c r="J27" s="117" t="s">
        <v>241</v>
      </c>
      <c r="K27" s="112" t="s">
        <v>239</v>
      </c>
      <c r="L27" s="17" t="s">
        <v>251</v>
      </c>
      <c r="M27" s="10">
        <v>2.5</v>
      </c>
      <c r="N27" s="74" t="s">
        <v>59</v>
      </c>
      <c r="O27" s="74">
        <v>15</v>
      </c>
      <c r="P27" s="110">
        <v>6</v>
      </c>
    </row>
    <row r="28" spans="1:16" ht="16.5" x14ac:dyDescent="0.3">
      <c r="A28" s="8">
        <v>46107</v>
      </c>
      <c r="B28" s="123">
        <v>3.5</v>
      </c>
      <c r="C28" s="119"/>
      <c r="D28" s="119">
        <v>0.25</v>
      </c>
      <c r="E28" s="119"/>
      <c r="F28" s="117"/>
      <c r="G28" s="117">
        <v>0.5</v>
      </c>
      <c r="H28" s="117"/>
      <c r="I28" s="117">
        <v>20</v>
      </c>
      <c r="J28" s="117" t="s">
        <v>243</v>
      </c>
      <c r="K28" s="112" t="s">
        <v>242</v>
      </c>
      <c r="L28" s="112"/>
    </row>
    <row r="29" spans="1:16" ht="16.5" x14ac:dyDescent="0.3">
      <c r="A29" s="8">
        <v>46108</v>
      </c>
      <c r="B29" s="123"/>
      <c r="C29" s="119"/>
      <c r="D29" s="119"/>
      <c r="E29" s="119">
        <v>1</v>
      </c>
      <c r="F29" s="117">
        <v>1.5</v>
      </c>
      <c r="G29" s="117"/>
      <c r="H29" s="117"/>
      <c r="I29" s="117"/>
      <c r="J29" s="117"/>
      <c r="K29" s="112" t="s">
        <v>259</v>
      </c>
      <c r="L29" s="112"/>
    </row>
    <row r="30" spans="1:16" ht="33" x14ac:dyDescent="0.3">
      <c r="A30" s="8">
        <v>46109</v>
      </c>
      <c r="B30" s="123">
        <v>3</v>
      </c>
      <c r="C30" s="119"/>
      <c r="D30" s="119">
        <v>1.5</v>
      </c>
      <c r="E30" s="119">
        <v>1.5</v>
      </c>
      <c r="F30" s="117">
        <v>2</v>
      </c>
      <c r="G30" s="117">
        <v>2</v>
      </c>
      <c r="H30" s="117"/>
      <c r="I30" s="117"/>
      <c r="J30" s="117"/>
      <c r="K30" s="5" t="s">
        <v>262</v>
      </c>
      <c r="L30" s="264" t="s">
        <v>194</v>
      </c>
      <c r="M30" s="264"/>
      <c r="N30" s="264"/>
      <c r="O30" s="264"/>
    </row>
    <row r="31" spans="1:16" s="113" customFormat="1" ht="16.5" x14ac:dyDescent="0.3">
      <c r="A31" s="8">
        <v>46110</v>
      </c>
      <c r="B31" s="123">
        <v>3.5</v>
      </c>
      <c r="C31" s="119"/>
      <c r="D31" s="119"/>
      <c r="E31" s="119">
        <v>4.5</v>
      </c>
      <c r="F31" s="117"/>
      <c r="G31" s="117"/>
      <c r="H31" s="117"/>
      <c r="I31" s="117"/>
      <c r="J31" s="117"/>
      <c r="K31" s="5" t="s">
        <v>258</v>
      </c>
      <c r="L31" s="114"/>
      <c r="M31" s="114"/>
      <c r="N31" s="114"/>
      <c r="O31" s="114"/>
    </row>
    <row r="32" spans="1:16" s="113" customFormat="1" ht="16.5" x14ac:dyDescent="0.3">
      <c r="A32" s="8">
        <v>46111</v>
      </c>
      <c r="B32" s="123"/>
      <c r="C32" s="119"/>
      <c r="D32" s="119"/>
      <c r="E32" s="119"/>
      <c r="F32" s="117"/>
      <c r="G32" s="117">
        <v>4</v>
      </c>
      <c r="H32" s="117"/>
      <c r="I32" s="117"/>
      <c r="J32" s="117"/>
      <c r="K32" s="5" t="s">
        <v>255</v>
      </c>
      <c r="L32" s="114"/>
      <c r="M32" s="114"/>
      <c r="N32" s="114"/>
      <c r="O32" s="114"/>
    </row>
    <row r="33" spans="1:15" ht="16.5" x14ac:dyDescent="0.3">
      <c r="A33" s="8">
        <v>46112</v>
      </c>
      <c r="B33" s="112">
        <v>0.75</v>
      </c>
      <c r="C33" s="112">
        <v>3.5</v>
      </c>
      <c r="D33" s="112"/>
      <c r="E33" s="112"/>
      <c r="F33" s="112">
        <v>15</v>
      </c>
      <c r="G33" s="112"/>
      <c r="H33" s="112"/>
      <c r="I33" s="112"/>
      <c r="J33" s="112"/>
      <c r="K33" s="110" t="s">
        <v>253</v>
      </c>
      <c r="L33" s="264"/>
      <c r="M33" s="264"/>
      <c r="N33" s="264"/>
      <c r="O33" s="264"/>
    </row>
    <row r="34" spans="1:15" ht="16.5" x14ac:dyDescent="0.3">
      <c r="A34" s="112" t="s">
        <v>17</v>
      </c>
      <c r="B34" s="112">
        <v>3</v>
      </c>
      <c r="C34" s="112"/>
      <c r="D34" s="112"/>
      <c r="E34" s="112"/>
      <c r="F34" s="112"/>
      <c r="G34" s="112"/>
      <c r="H34" s="112"/>
      <c r="I34" s="112"/>
      <c r="J34" s="112"/>
      <c r="K34" s="112" t="s">
        <v>150</v>
      </c>
      <c r="L34" s="264"/>
      <c r="M34" s="264"/>
      <c r="N34" s="264"/>
      <c r="O34" s="264"/>
    </row>
    <row r="35" spans="1:15" ht="16.5" x14ac:dyDescent="0.3">
      <c r="A35" s="112"/>
      <c r="B35" s="112"/>
      <c r="C35" s="112"/>
      <c r="D35" s="112"/>
      <c r="E35" s="112"/>
      <c r="F35" s="112"/>
      <c r="G35" s="112"/>
      <c r="H35" s="112"/>
      <c r="I35" s="112"/>
      <c r="J35" s="112"/>
      <c r="K35" s="112"/>
      <c r="L35" s="112"/>
    </row>
    <row r="36" spans="1:15" ht="16.5" x14ac:dyDescent="0.3">
      <c r="A36" s="112"/>
      <c r="B36" s="112"/>
      <c r="C36" s="112"/>
      <c r="D36" s="112"/>
      <c r="E36" s="112"/>
      <c r="F36" s="112"/>
      <c r="G36" s="112"/>
      <c r="H36" s="112"/>
      <c r="I36" s="112"/>
      <c r="J36" s="112"/>
      <c r="K36" s="112"/>
      <c r="L36" s="112"/>
    </row>
    <row r="53" spans="4:8" x14ac:dyDescent="0.25">
      <c r="D53" s="110" t="s">
        <v>20</v>
      </c>
      <c r="H53" s="110">
        <v>1</v>
      </c>
    </row>
    <row r="55" spans="4:8" x14ac:dyDescent="0.25">
      <c r="H55" s="110">
        <v>1</v>
      </c>
    </row>
    <row r="56" spans="4:8" x14ac:dyDescent="0.25">
      <c r="H56" s="110">
        <v>2</v>
      </c>
    </row>
    <row r="57" spans="4:8" x14ac:dyDescent="0.25">
      <c r="E57" s="13"/>
    </row>
    <row r="58" spans="4:8" x14ac:dyDescent="0.25">
      <c r="E58" s="13"/>
    </row>
    <row r="60" spans="4:8" x14ac:dyDescent="0.25">
      <c r="E60" s="13"/>
    </row>
  </sheetData>
  <mergeCells count="4">
    <mergeCell ref="P1:Q2"/>
    <mergeCell ref="L30:O30"/>
    <mergeCell ref="L33:O33"/>
    <mergeCell ref="L34:O34"/>
  </mergeCells>
  <conditionalFormatting sqref="J1">
    <cfRule type="cellIs" priority="5" operator="lessThanOrEqual">
      <formula>$C$36</formula>
    </cfRule>
  </conditionalFormatting>
  <conditionalFormatting sqref="B3:B32">
    <cfRule type="cellIs" dxfId="55" priority="3" operator="lessThan">
      <formula>$B$34</formula>
    </cfRule>
    <cfRule type="cellIs" dxfId="54" priority="4" operator="greaterThan">
      <formula>$B$34</formula>
    </cfRule>
  </conditionalFormatting>
  <conditionalFormatting sqref="A3:A33">
    <cfRule type="expression" dxfId="53" priority="2">
      <formula>WEEKDAY(A3,2)&gt;5</formula>
    </cfRule>
  </conditionalFormatting>
  <conditionalFormatting sqref="I4:J6 I13:J32 I3 I7 I9:J11">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workbookViewId="0">
      <pane ySplit="1" topLeftCell="A2" activePane="bottomLeft" state="frozen"/>
      <selection pane="bottomLeft" activeCell="E2" sqref="E2"/>
    </sheetView>
  </sheetViews>
  <sheetFormatPr defaultRowHeight="15" x14ac:dyDescent="0.25"/>
  <cols>
    <col min="1" max="1" width="10.85546875" style="152" customWidth="1"/>
    <col min="2" max="2" width="8.42578125" style="152" customWidth="1"/>
    <col min="3" max="3" width="9.5703125" style="152" customWidth="1"/>
    <col min="4" max="4" width="8.42578125" style="152" customWidth="1"/>
    <col min="5" max="5" width="11.28515625" style="152" customWidth="1"/>
    <col min="6" max="6" width="8.28515625" style="152" customWidth="1"/>
    <col min="7" max="7" width="9.140625" style="152"/>
    <col min="8" max="8" width="6.5703125" style="152" customWidth="1"/>
    <col min="9" max="9" width="10.28515625" style="152" customWidth="1"/>
    <col min="10" max="10" width="20.5703125" style="152" customWidth="1"/>
    <col min="11" max="11" width="47" style="152" customWidth="1"/>
    <col min="12" max="12" width="61.42578125" style="152" customWidth="1"/>
    <col min="13" max="13" width="12.5703125" style="152" customWidth="1"/>
    <col min="14" max="14" width="19.85546875" style="152" bestFit="1" customWidth="1"/>
    <col min="15" max="15" width="14.28515625" style="152" customWidth="1"/>
    <col min="16" max="16384" width="9.140625" style="152"/>
  </cols>
  <sheetData>
    <row r="1" spans="1:17" ht="53.25" customHeight="1" x14ac:dyDescent="0.3">
      <c r="A1" s="159" t="s">
        <v>12</v>
      </c>
      <c r="B1" s="155" t="s">
        <v>0</v>
      </c>
      <c r="C1" s="155" t="s">
        <v>42</v>
      </c>
      <c r="D1" s="155" t="s">
        <v>43</v>
      </c>
      <c r="E1" s="155" t="s">
        <v>41</v>
      </c>
      <c r="F1" s="155" t="s">
        <v>50</v>
      </c>
      <c r="G1" s="155" t="s">
        <v>1</v>
      </c>
      <c r="H1" s="155" t="s">
        <v>56</v>
      </c>
      <c r="I1" s="155" t="s">
        <v>74</v>
      </c>
      <c r="J1" s="34" t="s">
        <v>152</v>
      </c>
      <c r="K1" s="155" t="s">
        <v>265</v>
      </c>
      <c r="L1" s="18" t="s">
        <v>2</v>
      </c>
      <c r="M1" s="6"/>
      <c r="N1" s="152" t="s">
        <v>14</v>
      </c>
      <c r="O1" s="152">
        <f>SUM(B3:B32)</f>
        <v>66.75</v>
      </c>
      <c r="P1" s="263" t="s">
        <v>154</v>
      </c>
      <c r="Q1" s="263"/>
    </row>
    <row r="2" spans="1:17" ht="16.5" x14ac:dyDescent="0.3">
      <c r="B2" s="117">
        <f>SUM(B3:B33)</f>
        <v>66.75</v>
      </c>
      <c r="C2" s="117">
        <f t="shared" ref="C2" si="0">SUM(C3:C33)</f>
        <v>20.6</v>
      </c>
      <c r="D2" s="117">
        <f>SUM(D3:D33)</f>
        <v>12.7</v>
      </c>
      <c r="E2" s="117">
        <f t="shared" ref="E2:H2" si="1">SUM(E3:E33)</f>
        <v>14.05</v>
      </c>
      <c r="F2" s="117">
        <f>SUM(F3:F33)</f>
        <v>30.75</v>
      </c>
      <c r="G2" s="117">
        <f t="shared" si="1"/>
        <v>48.5</v>
      </c>
      <c r="H2" s="117">
        <f t="shared" si="1"/>
        <v>1</v>
      </c>
      <c r="I2" s="117">
        <f>SUM(I3:I30)/60</f>
        <v>6.1</v>
      </c>
      <c r="J2" s="117"/>
      <c r="K2" s="106">
        <f>SUM(E2:G2)</f>
        <v>93.3</v>
      </c>
      <c r="L2" s="154"/>
      <c r="M2" s="152" t="s">
        <v>13</v>
      </c>
      <c r="N2" s="122" t="s">
        <v>15</v>
      </c>
      <c r="O2" s="122">
        <f>SUM(C3:E30)</f>
        <v>44.05</v>
      </c>
      <c r="P2" s="263"/>
      <c r="Q2" s="263"/>
    </row>
    <row r="3" spans="1:17" ht="16.5" x14ac:dyDescent="0.3">
      <c r="A3" s="8">
        <v>46113</v>
      </c>
      <c r="B3" s="123">
        <v>4.5</v>
      </c>
      <c r="C3" s="118">
        <v>0.5</v>
      </c>
      <c r="D3" s="119"/>
      <c r="E3" s="119"/>
      <c r="F3" s="120"/>
      <c r="G3" s="88"/>
      <c r="H3" s="120"/>
      <c r="I3" s="117">
        <v>30</v>
      </c>
      <c r="J3" s="117" t="s">
        <v>256</v>
      </c>
      <c r="K3" s="154"/>
      <c r="L3" s="19" t="s">
        <v>24</v>
      </c>
      <c r="M3" s="130">
        <f>SUM(M4:M28)</f>
        <v>93.3</v>
      </c>
      <c r="N3" s="121" t="s">
        <v>16</v>
      </c>
      <c r="O3" s="121">
        <f>SUM(F3:H30)</f>
        <v>62.75</v>
      </c>
      <c r="P3" s="152">
        <f>SUM(P4:P32)</f>
        <v>13</v>
      </c>
    </row>
    <row r="4" spans="1:17" ht="16.5" x14ac:dyDescent="0.3">
      <c r="A4" s="8">
        <v>46114</v>
      </c>
      <c r="B4" s="123"/>
      <c r="C4" s="119"/>
      <c r="D4" s="119"/>
      <c r="E4" s="119"/>
      <c r="F4" s="119"/>
      <c r="G4" s="117"/>
      <c r="H4" s="117"/>
      <c r="I4" s="117"/>
      <c r="J4" s="117"/>
      <c r="K4" s="154"/>
      <c r="L4" s="157" t="s">
        <v>155</v>
      </c>
      <c r="M4" s="155">
        <v>8.5</v>
      </c>
      <c r="P4" s="152">
        <v>1.5</v>
      </c>
    </row>
    <row r="5" spans="1:17" ht="16.5" x14ac:dyDescent="0.3">
      <c r="A5" s="8">
        <v>46115</v>
      </c>
      <c r="B5" s="123"/>
      <c r="C5" s="119"/>
      <c r="D5" s="119"/>
      <c r="E5" s="119"/>
      <c r="F5" s="119">
        <v>2.5</v>
      </c>
      <c r="G5" s="117">
        <v>7.5</v>
      </c>
      <c r="H5" s="117"/>
      <c r="I5" s="117"/>
      <c r="J5" s="117"/>
      <c r="K5" s="154"/>
      <c r="L5" s="157" t="s">
        <v>416</v>
      </c>
      <c r="M5" s="155">
        <v>2.5</v>
      </c>
      <c r="N5" s="152" t="s">
        <v>196</v>
      </c>
      <c r="P5" s="152">
        <v>1</v>
      </c>
    </row>
    <row r="6" spans="1:17" ht="30" x14ac:dyDescent="0.3">
      <c r="A6" s="8">
        <v>46116</v>
      </c>
      <c r="B6" s="123">
        <v>6.5</v>
      </c>
      <c r="C6" s="119">
        <v>3.5</v>
      </c>
      <c r="D6" s="119"/>
      <c r="E6" s="119"/>
      <c r="F6" s="119">
        <v>1</v>
      </c>
      <c r="G6" s="117"/>
      <c r="H6" s="117"/>
      <c r="I6" s="117">
        <v>18</v>
      </c>
      <c r="J6" s="117" t="s">
        <v>264</v>
      </c>
      <c r="K6" s="154"/>
      <c r="L6" s="156" t="s">
        <v>307</v>
      </c>
      <c r="M6" s="155"/>
      <c r="N6" s="16" t="s">
        <v>19</v>
      </c>
      <c r="O6" s="16" t="s">
        <v>21</v>
      </c>
    </row>
    <row r="7" spans="1:17" ht="16.5" x14ac:dyDescent="0.3">
      <c r="A7" s="8">
        <v>46117</v>
      </c>
      <c r="B7" s="123">
        <v>6</v>
      </c>
      <c r="C7" s="119">
        <v>1.5</v>
      </c>
      <c r="D7" s="119">
        <v>2.5</v>
      </c>
      <c r="E7" s="119"/>
      <c r="F7" s="119"/>
      <c r="G7" s="117"/>
      <c r="H7" s="117"/>
      <c r="I7" s="117">
        <v>30</v>
      </c>
      <c r="J7" s="154" t="s">
        <v>267</v>
      </c>
      <c r="K7" s="154" t="s">
        <v>266</v>
      </c>
      <c r="L7" s="157" t="s">
        <v>298</v>
      </c>
      <c r="M7" s="155">
        <v>3.3</v>
      </c>
      <c r="N7" s="124" t="s">
        <v>123</v>
      </c>
      <c r="O7" s="31" t="s">
        <v>173</v>
      </c>
    </row>
    <row r="8" spans="1:17" ht="16.5" x14ac:dyDescent="0.3">
      <c r="A8" s="8">
        <v>46118</v>
      </c>
      <c r="B8" s="123">
        <v>2</v>
      </c>
      <c r="C8" s="119">
        <v>0.25</v>
      </c>
      <c r="D8" s="119"/>
      <c r="E8" s="137"/>
      <c r="F8" s="119"/>
      <c r="G8" s="117">
        <v>2</v>
      </c>
      <c r="H8" s="117"/>
      <c r="I8" s="117">
        <v>7</v>
      </c>
      <c r="K8" s="12" t="s">
        <v>268</v>
      </c>
      <c r="L8" s="157" t="s">
        <v>419</v>
      </c>
      <c r="M8" s="155">
        <v>1.5</v>
      </c>
      <c r="N8" s="125" t="s">
        <v>126</v>
      </c>
      <c r="O8" s="32" t="s">
        <v>62</v>
      </c>
    </row>
    <row r="9" spans="1:17" ht="16.5" x14ac:dyDescent="0.3">
      <c r="A9" s="8">
        <v>46119</v>
      </c>
      <c r="B9" s="123"/>
      <c r="C9" s="119"/>
      <c r="D9" s="119">
        <v>0.25</v>
      </c>
      <c r="E9" s="119"/>
      <c r="F9" s="119">
        <v>0.25</v>
      </c>
      <c r="G9" s="117">
        <v>3</v>
      </c>
      <c r="H9" s="117"/>
      <c r="I9" s="117"/>
      <c r="J9" s="117"/>
      <c r="K9" s="139" t="s">
        <v>420</v>
      </c>
      <c r="L9" s="157" t="s">
        <v>109</v>
      </c>
      <c r="M9" s="155">
        <v>0.5</v>
      </c>
      <c r="N9" s="152" t="s">
        <v>127</v>
      </c>
      <c r="O9" s="152" t="s">
        <v>129</v>
      </c>
    </row>
    <row r="10" spans="1:17" ht="16.5" x14ac:dyDescent="0.3">
      <c r="A10" s="8">
        <v>46120</v>
      </c>
      <c r="B10" s="123"/>
      <c r="C10" s="119"/>
      <c r="D10" s="119">
        <v>1</v>
      </c>
      <c r="E10" s="119">
        <v>1</v>
      </c>
      <c r="F10" s="119"/>
      <c r="G10" s="117">
        <v>5</v>
      </c>
      <c r="H10" s="117"/>
      <c r="I10" s="136"/>
      <c r="J10" s="117"/>
      <c r="K10" s="140" t="s">
        <v>274</v>
      </c>
      <c r="L10" s="157" t="s">
        <v>295</v>
      </c>
      <c r="M10" s="155">
        <v>0.75</v>
      </c>
      <c r="N10" s="126" t="s">
        <v>128</v>
      </c>
      <c r="O10" s="75" t="s">
        <v>130</v>
      </c>
    </row>
    <row r="11" spans="1:17" ht="16.5" x14ac:dyDescent="0.3">
      <c r="A11" s="8">
        <v>46121</v>
      </c>
      <c r="B11" s="123"/>
      <c r="C11" s="119"/>
      <c r="D11" s="119"/>
      <c r="E11" s="119"/>
      <c r="F11" s="119"/>
      <c r="G11" s="117">
        <v>0.5</v>
      </c>
      <c r="H11" s="117"/>
      <c r="I11" s="135"/>
      <c r="J11" s="117"/>
      <c r="K11" s="141" t="s">
        <v>275</v>
      </c>
      <c r="L11" s="157" t="s">
        <v>300</v>
      </c>
      <c r="M11" s="155">
        <v>1.5</v>
      </c>
      <c r="N11" s="125" t="s">
        <v>125</v>
      </c>
      <c r="O11" s="32" t="s">
        <v>63</v>
      </c>
    </row>
    <row r="12" spans="1:17" ht="16.5" x14ac:dyDescent="0.3">
      <c r="A12" s="8">
        <v>46122</v>
      </c>
      <c r="B12" s="123"/>
      <c r="C12" s="119"/>
      <c r="D12" s="88"/>
      <c r="E12" s="88"/>
      <c r="F12" s="88"/>
      <c r="G12" s="88">
        <v>4</v>
      </c>
      <c r="H12" s="88"/>
      <c r="I12" s="88"/>
      <c r="J12" s="88"/>
      <c r="K12" s="142" t="s">
        <v>273</v>
      </c>
      <c r="L12" s="157" t="s">
        <v>290</v>
      </c>
      <c r="M12" s="155">
        <v>4.5</v>
      </c>
      <c r="N12" s="152" t="s">
        <v>131</v>
      </c>
      <c r="O12" s="152" t="s">
        <v>59</v>
      </c>
    </row>
    <row r="13" spans="1:17" ht="16.5" x14ac:dyDescent="0.3">
      <c r="A13" s="8">
        <v>46123</v>
      </c>
      <c r="B13" s="123">
        <v>2</v>
      </c>
      <c r="C13" s="119">
        <v>5</v>
      </c>
      <c r="D13" s="119"/>
      <c r="E13" s="119"/>
      <c r="F13" s="119"/>
      <c r="G13" s="117">
        <v>5.5</v>
      </c>
      <c r="H13" s="117"/>
      <c r="I13" s="117"/>
      <c r="J13" s="117" t="s">
        <v>271</v>
      </c>
      <c r="K13" s="141" t="s">
        <v>272</v>
      </c>
      <c r="L13" s="157" t="s">
        <v>269</v>
      </c>
      <c r="M13" s="155">
        <v>6.75</v>
      </c>
      <c r="N13" s="125" t="s">
        <v>135</v>
      </c>
      <c r="O13" s="40" t="s">
        <v>134</v>
      </c>
      <c r="P13" s="152">
        <v>6</v>
      </c>
    </row>
    <row r="14" spans="1:17" ht="34.5" customHeight="1" x14ac:dyDescent="0.3">
      <c r="A14" s="8">
        <v>46124</v>
      </c>
      <c r="B14" s="123">
        <v>4</v>
      </c>
      <c r="C14" s="119">
        <v>0.5</v>
      </c>
      <c r="D14" s="119">
        <v>1</v>
      </c>
      <c r="E14" s="119">
        <v>0.3</v>
      </c>
      <c r="F14" s="119">
        <v>2.5</v>
      </c>
      <c r="G14" s="117">
        <v>1</v>
      </c>
      <c r="H14" s="117"/>
      <c r="I14" s="117">
        <v>30</v>
      </c>
      <c r="J14" s="117" t="s">
        <v>280</v>
      </c>
      <c r="K14" s="143" t="s">
        <v>282</v>
      </c>
      <c r="L14" s="157" t="s">
        <v>313</v>
      </c>
      <c r="M14" s="155">
        <v>9.75</v>
      </c>
      <c r="N14" s="36" t="s">
        <v>132</v>
      </c>
      <c r="O14" s="36" t="s">
        <v>133</v>
      </c>
    </row>
    <row r="15" spans="1:17" ht="16.5" x14ac:dyDescent="0.3">
      <c r="A15" s="8">
        <v>46125</v>
      </c>
      <c r="B15" s="123">
        <v>3.5</v>
      </c>
      <c r="C15" s="119">
        <v>0.25</v>
      </c>
      <c r="D15" s="119">
        <v>0.25</v>
      </c>
      <c r="E15" s="119"/>
      <c r="F15" s="119">
        <v>0.5</v>
      </c>
      <c r="G15" s="117">
        <v>1</v>
      </c>
      <c r="H15" s="117"/>
      <c r="I15" s="117"/>
      <c r="J15" s="117" t="s">
        <v>278</v>
      </c>
      <c r="K15" s="143"/>
      <c r="L15" s="157" t="s">
        <v>287</v>
      </c>
      <c r="M15" s="155">
        <v>7</v>
      </c>
      <c r="N15" s="127" t="s">
        <v>54</v>
      </c>
      <c r="O15" s="33" t="s">
        <v>3</v>
      </c>
      <c r="P15" s="152">
        <v>-2.5</v>
      </c>
    </row>
    <row r="16" spans="1:17" ht="16.5" x14ac:dyDescent="0.3">
      <c r="A16" s="8">
        <v>46126</v>
      </c>
      <c r="B16" s="123">
        <v>2</v>
      </c>
      <c r="C16" s="119">
        <v>0.25</v>
      </c>
      <c r="D16" s="119">
        <v>1</v>
      </c>
      <c r="E16" s="119"/>
      <c r="F16" s="119">
        <v>1.25</v>
      </c>
      <c r="G16" s="117"/>
      <c r="H16" s="117"/>
      <c r="I16" s="117">
        <v>27</v>
      </c>
      <c r="J16" s="117" t="s">
        <v>276</v>
      </c>
      <c r="K16" s="143" t="s">
        <v>277</v>
      </c>
      <c r="L16" s="157" t="s">
        <v>311</v>
      </c>
      <c r="M16" s="155">
        <v>2.75</v>
      </c>
      <c r="N16" s="127" t="s">
        <v>136</v>
      </c>
      <c r="O16" s="33" t="s">
        <v>55</v>
      </c>
    </row>
    <row r="17" spans="1:16" ht="16.5" x14ac:dyDescent="0.3">
      <c r="A17" s="8">
        <v>46127</v>
      </c>
      <c r="B17" s="123">
        <v>0.5</v>
      </c>
      <c r="C17" s="119">
        <v>0.5</v>
      </c>
      <c r="D17" s="119"/>
      <c r="E17" s="119"/>
      <c r="F17" s="119"/>
      <c r="G17" s="117">
        <v>2.5</v>
      </c>
      <c r="H17" s="117"/>
      <c r="I17" s="117"/>
      <c r="J17" s="117"/>
      <c r="K17" s="143"/>
      <c r="L17" s="157" t="s">
        <v>316</v>
      </c>
      <c r="M17" s="155">
        <v>3.25</v>
      </c>
      <c r="N17" s="127" t="s">
        <v>137</v>
      </c>
      <c r="O17" s="33" t="s">
        <v>40</v>
      </c>
    </row>
    <row r="18" spans="1:16" ht="16.5" x14ac:dyDescent="0.3">
      <c r="A18" s="8">
        <v>46128</v>
      </c>
      <c r="B18" s="123"/>
      <c r="C18" s="119"/>
      <c r="D18" s="119">
        <v>2</v>
      </c>
      <c r="E18" s="119"/>
      <c r="F18" s="119"/>
      <c r="G18" s="117"/>
      <c r="H18" s="117"/>
      <c r="I18" s="117"/>
      <c r="J18" s="117"/>
      <c r="K18" s="143" t="s">
        <v>417</v>
      </c>
      <c r="L18" s="157" t="s">
        <v>270</v>
      </c>
      <c r="M18" s="155">
        <v>5.5</v>
      </c>
      <c r="N18" s="152" t="s">
        <v>71</v>
      </c>
    </row>
    <row r="19" spans="1:16" ht="16.5" x14ac:dyDescent="0.3">
      <c r="A19" s="8">
        <v>46129</v>
      </c>
      <c r="B19" s="123">
        <v>2</v>
      </c>
      <c r="C19" s="119"/>
      <c r="D19" s="119"/>
      <c r="E19" s="119"/>
      <c r="F19" s="119">
        <v>0.5</v>
      </c>
      <c r="G19" s="117"/>
      <c r="H19" s="117"/>
      <c r="I19" s="117">
        <v>7</v>
      </c>
      <c r="J19" s="117" t="s">
        <v>418</v>
      </c>
      <c r="K19" s="144"/>
      <c r="L19" s="157" t="s">
        <v>279</v>
      </c>
      <c r="M19" s="155">
        <v>11.5</v>
      </c>
      <c r="N19" s="128"/>
      <c r="P19" s="153"/>
    </row>
    <row r="20" spans="1:16" ht="30.75" x14ac:dyDescent="0.3">
      <c r="A20" s="8">
        <v>46130</v>
      </c>
      <c r="B20" s="123">
        <v>2</v>
      </c>
      <c r="C20" s="119">
        <v>2.5</v>
      </c>
      <c r="D20" s="119"/>
      <c r="E20" s="119">
        <v>5</v>
      </c>
      <c r="F20" s="117">
        <v>2.5</v>
      </c>
      <c r="G20" s="117"/>
      <c r="H20" s="117"/>
      <c r="I20" s="117">
        <v>10</v>
      </c>
      <c r="J20" s="117" t="s">
        <v>285</v>
      </c>
      <c r="K20" s="138" t="s">
        <v>284</v>
      </c>
      <c r="L20" s="157" t="s">
        <v>294</v>
      </c>
      <c r="M20" s="155">
        <v>4.75</v>
      </c>
      <c r="N20" s="129" t="s">
        <v>45</v>
      </c>
      <c r="O20" s="72">
        <v>10</v>
      </c>
      <c r="P20" s="153"/>
    </row>
    <row r="21" spans="1:16" ht="16.5" x14ac:dyDescent="0.3">
      <c r="A21" s="8">
        <v>46131</v>
      </c>
      <c r="B21" s="123">
        <v>3</v>
      </c>
      <c r="C21" s="119">
        <v>0.75</v>
      </c>
      <c r="D21" s="119">
        <v>0.5</v>
      </c>
      <c r="E21" s="119">
        <v>1</v>
      </c>
      <c r="F21" s="117">
        <v>0.5</v>
      </c>
      <c r="G21" s="117">
        <v>3.75</v>
      </c>
      <c r="H21" s="117"/>
      <c r="I21" s="117">
        <v>8</v>
      </c>
      <c r="J21" s="117" t="s">
        <v>283</v>
      </c>
      <c r="K21" s="150" t="s">
        <v>286</v>
      </c>
      <c r="L21" s="157" t="s">
        <v>281</v>
      </c>
      <c r="M21" s="155">
        <v>1</v>
      </c>
      <c r="N21" s="129" t="s">
        <v>46</v>
      </c>
      <c r="O21" s="72">
        <v>20</v>
      </c>
      <c r="P21" s="86"/>
    </row>
    <row r="22" spans="1:16" ht="16.5" x14ac:dyDescent="0.3">
      <c r="A22" s="8">
        <v>46132</v>
      </c>
      <c r="B22" s="123">
        <v>3</v>
      </c>
      <c r="C22" s="119">
        <v>1</v>
      </c>
      <c r="D22" s="119"/>
      <c r="E22" s="119">
        <v>1</v>
      </c>
      <c r="F22" s="117">
        <v>0.5</v>
      </c>
      <c r="G22" s="117">
        <v>0.5</v>
      </c>
      <c r="H22" s="117"/>
      <c r="I22" s="117">
        <v>31</v>
      </c>
      <c r="J22" s="117" t="s">
        <v>288</v>
      </c>
      <c r="K22" s="115" t="s">
        <v>289</v>
      </c>
      <c r="L22" s="158" t="s">
        <v>287</v>
      </c>
      <c r="M22" s="155">
        <v>3</v>
      </c>
      <c r="N22" s="129" t="s">
        <v>58</v>
      </c>
      <c r="O22" s="72">
        <v>30</v>
      </c>
      <c r="P22" s="86"/>
    </row>
    <row r="23" spans="1:16" ht="16.5" x14ac:dyDescent="0.3">
      <c r="A23" s="8">
        <v>46133</v>
      </c>
      <c r="B23" s="123">
        <v>1</v>
      </c>
      <c r="C23" s="119"/>
      <c r="D23" s="119">
        <v>0.5</v>
      </c>
      <c r="E23" s="119"/>
      <c r="F23" s="117"/>
      <c r="G23" s="117">
        <v>2</v>
      </c>
      <c r="H23" s="117"/>
      <c r="I23" s="117"/>
      <c r="J23" s="117"/>
      <c r="K23" s="116" t="s">
        <v>291</v>
      </c>
      <c r="L23" s="157"/>
      <c r="M23" s="10"/>
      <c r="N23" s="73" t="s">
        <v>47</v>
      </c>
      <c r="O23" s="73">
        <v>20</v>
      </c>
      <c r="P23" s="86"/>
    </row>
    <row r="24" spans="1:16" ht="16.5" x14ac:dyDescent="0.3">
      <c r="A24" s="8">
        <v>46134</v>
      </c>
      <c r="B24" s="123">
        <v>4.5</v>
      </c>
      <c r="C24" s="119"/>
      <c r="D24" s="119">
        <v>0.5</v>
      </c>
      <c r="E24" s="119"/>
      <c r="F24" s="117"/>
      <c r="G24" s="117">
        <v>0.25</v>
      </c>
      <c r="H24" s="117"/>
      <c r="I24" s="117">
        <v>18</v>
      </c>
      <c r="J24" s="117" t="s">
        <v>292</v>
      </c>
      <c r="K24" s="5"/>
      <c r="L24" s="157" t="s">
        <v>150</v>
      </c>
      <c r="M24" s="133">
        <v>15</v>
      </c>
      <c r="N24" s="73" t="s">
        <v>48</v>
      </c>
      <c r="O24" s="73">
        <v>10</v>
      </c>
    </row>
    <row r="25" spans="1:16" ht="16.5" x14ac:dyDescent="0.3">
      <c r="A25" s="8">
        <v>46135</v>
      </c>
      <c r="B25" s="123">
        <v>0</v>
      </c>
      <c r="C25" s="119"/>
      <c r="D25" s="119"/>
      <c r="E25" s="119"/>
      <c r="F25" s="117"/>
      <c r="G25" s="117">
        <v>4</v>
      </c>
      <c r="H25" s="117"/>
      <c r="I25" s="88"/>
      <c r="J25" s="88"/>
      <c r="K25" s="154" t="s">
        <v>293</v>
      </c>
      <c r="L25" s="20"/>
      <c r="M25" s="10"/>
      <c r="N25" s="73" t="s">
        <v>22</v>
      </c>
      <c r="O25" s="73">
        <v>15</v>
      </c>
    </row>
    <row r="26" spans="1:16" ht="16.5" x14ac:dyDescent="0.3">
      <c r="A26" s="8">
        <v>46136</v>
      </c>
      <c r="B26" s="123">
        <v>3</v>
      </c>
      <c r="C26" s="119">
        <v>0.25</v>
      </c>
      <c r="D26" s="119">
        <v>0.5</v>
      </c>
      <c r="E26" s="119"/>
      <c r="F26" s="117">
        <v>1.25</v>
      </c>
      <c r="G26" s="117">
        <v>0.5</v>
      </c>
      <c r="H26" s="117"/>
      <c r="I26" s="117">
        <v>40</v>
      </c>
      <c r="J26" s="117" t="s">
        <v>296</v>
      </c>
      <c r="K26" s="154" t="s">
        <v>309</v>
      </c>
      <c r="L26" s="9"/>
      <c r="M26" s="10"/>
      <c r="N26" s="74"/>
      <c r="O26" s="74"/>
    </row>
    <row r="27" spans="1:16" ht="16.5" x14ac:dyDescent="0.3">
      <c r="A27" s="8">
        <v>46137</v>
      </c>
      <c r="B27" s="123"/>
      <c r="C27" s="119">
        <v>2</v>
      </c>
      <c r="D27" s="119">
        <v>0.75</v>
      </c>
      <c r="E27" s="119">
        <v>0.75</v>
      </c>
      <c r="F27" s="117">
        <v>1.5</v>
      </c>
      <c r="G27" s="117">
        <v>1</v>
      </c>
      <c r="H27" s="117"/>
      <c r="I27" s="117"/>
      <c r="K27" s="154" t="s">
        <v>308</v>
      </c>
      <c r="L27" s="17"/>
      <c r="M27" s="10"/>
      <c r="N27" s="74" t="s">
        <v>59</v>
      </c>
      <c r="O27" s="74">
        <v>15</v>
      </c>
      <c r="P27" s="152">
        <v>6</v>
      </c>
    </row>
    <row r="28" spans="1:16" ht="16.5" x14ac:dyDescent="0.3">
      <c r="A28" s="8">
        <v>46138</v>
      </c>
      <c r="B28" s="123">
        <v>7</v>
      </c>
      <c r="C28" s="119">
        <v>1.25</v>
      </c>
      <c r="D28" s="119">
        <v>0.7</v>
      </c>
      <c r="E28" s="119">
        <v>1.5</v>
      </c>
      <c r="F28" s="117">
        <v>0.25</v>
      </c>
      <c r="G28" s="117">
        <v>1</v>
      </c>
      <c r="H28" s="117"/>
      <c r="I28" s="117">
        <v>80</v>
      </c>
      <c r="J28" s="117" t="s">
        <v>297</v>
      </c>
      <c r="K28" s="154" t="s">
        <v>299</v>
      </c>
      <c r="L28" s="154"/>
    </row>
    <row r="29" spans="1:16" ht="16.5" x14ac:dyDescent="0.3">
      <c r="A29" s="8">
        <v>46139</v>
      </c>
      <c r="B29" s="123">
        <v>2.25</v>
      </c>
      <c r="C29" s="119"/>
      <c r="D29" s="119">
        <v>1.25</v>
      </c>
      <c r="E29" s="119"/>
      <c r="F29" s="117">
        <v>0.25</v>
      </c>
      <c r="G29" s="117">
        <v>0.5</v>
      </c>
      <c r="I29" s="117"/>
      <c r="J29" s="117" t="s">
        <v>305</v>
      </c>
      <c r="K29" s="12" t="s">
        <v>306</v>
      </c>
      <c r="L29" s="154"/>
    </row>
    <row r="30" spans="1:16" ht="16.5" x14ac:dyDescent="0.3">
      <c r="A30" s="8">
        <v>46140</v>
      </c>
      <c r="B30" s="123">
        <v>3.5</v>
      </c>
      <c r="C30" s="119">
        <v>0.3</v>
      </c>
      <c r="D30" s="119"/>
      <c r="E30" s="119">
        <v>0.5</v>
      </c>
      <c r="F30" s="117"/>
      <c r="G30" s="117">
        <v>1</v>
      </c>
      <c r="H30" s="117">
        <v>1</v>
      </c>
      <c r="I30" s="117">
        <v>30</v>
      </c>
      <c r="J30" s="117" t="s">
        <v>302</v>
      </c>
      <c r="K30" s="154" t="s">
        <v>301</v>
      </c>
      <c r="L30" s="264"/>
      <c r="M30" s="264"/>
      <c r="N30" s="264"/>
      <c r="O30" s="264"/>
    </row>
    <row r="31" spans="1:16" ht="16.5" x14ac:dyDescent="0.3">
      <c r="A31" s="8">
        <v>46141</v>
      </c>
      <c r="B31" s="123">
        <v>2.5</v>
      </c>
      <c r="C31" s="119">
        <v>0.3</v>
      </c>
      <c r="D31" s="119"/>
      <c r="E31" s="119">
        <v>2</v>
      </c>
      <c r="F31" s="117">
        <v>0.5</v>
      </c>
      <c r="G31" s="117">
        <v>0.25</v>
      </c>
      <c r="H31" s="117"/>
      <c r="I31" s="117"/>
      <c r="J31" s="117" t="s">
        <v>315</v>
      </c>
      <c r="K31" s="5" t="s">
        <v>303</v>
      </c>
      <c r="L31" s="154"/>
      <c r="M31" s="154"/>
      <c r="N31" s="154"/>
      <c r="O31" s="154"/>
    </row>
    <row r="32" spans="1:16" ht="16.5" x14ac:dyDescent="0.3">
      <c r="A32" s="8">
        <v>46142</v>
      </c>
      <c r="B32" s="123">
        <v>2</v>
      </c>
      <c r="C32" s="119"/>
      <c r="D32" s="119"/>
      <c r="E32" s="119">
        <v>1</v>
      </c>
      <c r="F32" s="117"/>
      <c r="G32" s="117">
        <v>1.75</v>
      </c>
      <c r="H32" s="117"/>
      <c r="I32" s="117">
        <v>13</v>
      </c>
      <c r="J32" s="117" t="s">
        <v>317</v>
      </c>
      <c r="K32" s="5" t="s">
        <v>312</v>
      </c>
      <c r="L32" s="154"/>
      <c r="M32" s="154"/>
      <c r="N32" s="154"/>
      <c r="O32" s="154"/>
      <c r="P32" s="152">
        <v>1</v>
      </c>
    </row>
    <row r="33" spans="1:15" ht="16.5" x14ac:dyDescent="0.3">
      <c r="A33" s="8"/>
      <c r="B33" s="154"/>
      <c r="C33" s="154"/>
      <c r="D33" s="154"/>
      <c r="E33" s="154"/>
      <c r="F33" s="154">
        <v>15</v>
      </c>
      <c r="G33" s="154"/>
      <c r="H33" s="154"/>
      <c r="I33" s="154"/>
      <c r="J33" s="154"/>
      <c r="L33" s="264"/>
      <c r="M33" s="264"/>
      <c r="N33" s="264"/>
      <c r="O33" s="264"/>
    </row>
    <row r="34" spans="1:15" ht="16.5" x14ac:dyDescent="0.3">
      <c r="A34" s="154" t="s">
        <v>17</v>
      </c>
      <c r="B34" s="154">
        <v>3</v>
      </c>
      <c r="C34" s="154"/>
      <c r="D34" s="154"/>
      <c r="E34" s="154"/>
      <c r="F34" s="154"/>
      <c r="G34" s="154"/>
      <c r="H34" s="154"/>
      <c r="I34" s="154"/>
      <c r="J34" s="154"/>
      <c r="K34" s="154"/>
      <c r="L34" s="264"/>
      <c r="M34" s="264"/>
      <c r="N34" s="264"/>
      <c r="O34" s="264"/>
    </row>
    <row r="35" spans="1:15" ht="16.5" x14ac:dyDescent="0.3">
      <c r="A35" s="154"/>
      <c r="B35" s="154"/>
      <c r="C35" s="154"/>
      <c r="D35" s="154"/>
      <c r="E35" s="154"/>
      <c r="F35" s="154"/>
      <c r="G35" s="154"/>
      <c r="H35" s="154"/>
      <c r="I35" s="154"/>
      <c r="J35" s="154"/>
      <c r="K35" s="154"/>
      <c r="L35" s="154"/>
    </row>
    <row r="36" spans="1:15" ht="16.5" x14ac:dyDescent="0.3">
      <c r="A36" s="154"/>
      <c r="B36" s="154"/>
      <c r="C36" s="154"/>
      <c r="D36" s="154"/>
      <c r="E36" s="154"/>
      <c r="F36" s="154"/>
      <c r="G36" s="154"/>
      <c r="H36" s="154"/>
      <c r="I36" s="154"/>
      <c r="J36" s="154"/>
      <c r="K36" s="154"/>
      <c r="L36" s="154"/>
    </row>
    <row r="53" spans="4:8" x14ac:dyDescent="0.25">
      <c r="D53" s="152" t="s">
        <v>20</v>
      </c>
      <c r="H53" s="152">
        <v>1</v>
      </c>
    </row>
    <row r="55" spans="4:8" x14ac:dyDescent="0.25">
      <c r="H55" s="152">
        <v>1</v>
      </c>
    </row>
    <row r="56" spans="4:8" x14ac:dyDescent="0.25">
      <c r="H56" s="152">
        <v>2</v>
      </c>
    </row>
    <row r="57" spans="4:8" x14ac:dyDescent="0.25">
      <c r="E57" s="13"/>
    </row>
    <row r="58" spans="4:8" x14ac:dyDescent="0.25">
      <c r="E58" s="13"/>
    </row>
    <row r="60" spans="4:8" x14ac:dyDescent="0.25">
      <c r="E60" s="13"/>
    </row>
  </sheetData>
  <mergeCells count="4">
    <mergeCell ref="P1:Q2"/>
    <mergeCell ref="L30:O30"/>
    <mergeCell ref="L33:O33"/>
    <mergeCell ref="L34:O34"/>
  </mergeCells>
  <conditionalFormatting sqref="J1">
    <cfRule type="cellIs" priority="5" operator="lessThanOrEqual">
      <formula>$C$36</formula>
    </cfRule>
  </conditionalFormatting>
  <conditionalFormatting sqref="B3:B32">
    <cfRule type="cellIs" dxfId="50" priority="3" operator="lessThan">
      <formula>$B$34</formula>
    </cfRule>
    <cfRule type="cellIs" dxfId="49" priority="4" operator="greaterThan">
      <formula>$B$34</formula>
    </cfRule>
  </conditionalFormatting>
  <conditionalFormatting sqref="A3:A33">
    <cfRule type="expression" dxfId="48" priority="2">
      <formula>WEEKDAY(A3,2)&gt;5</formula>
    </cfRule>
  </conditionalFormatting>
  <conditionalFormatting sqref="I4:J6 I3 I9:J11 I7:I8 I13:J26 I27 I28:J32">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workbookViewId="0">
      <pane ySplit="1" topLeftCell="A2" activePane="bottomLeft" state="frozen"/>
      <selection pane="bottomLeft" activeCell="J14" sqref="J14"/>
    </sheetView>
  </sheetViews>
  <sheetFormatPr defaultRowHeight="15" x14ac:dyDescent="0.25"/>
  <cols>
    <col min="1" max="1" width="10.85546875" style="170" customWidth="1"/>
    <col min="2" max="2" width="8.42578125" style="170" customWidth="1"/>
    <col min="3" max="3" width="9.5703125" style="170" customWidth="1"/>
    <col min="4" max="4" width="8.42578125" style="170" customWidth="1"/>
    <col min="5" max="5" width="11.28515625" style="170" customWidth="1"/>
    <col min="6" max="6" width="8.28515625" style="170" customWidth="1"/>
    <col min="7" max="7" width="9.140625" style="170"/>
    <col min="8" max="8" width="6.5703125" style="170" customWidth="1"/>
    <col min="9" max="9" width="10.28515625" style="170" customWidth="1"/>
    <col min="10" max="10" width="23.7109375" style="170" customWidth="1"/>
    <col min="11" max="11" width="41.7109375" style="170" customWidth="1"/>
    <col min="12" max="12" width="61.28515625" style="170" customWidth="1"/>
    <col min="13" max="13" width="9.28515625" style="170" customWidth="1"/>
    <col min="14" max="14" width="19.85546875" style="170" bestFit="1" customWidth="1"/>
    <col min="15" max="15" width="14.28515625" style="170" customWidth="1"/>
    <col min="16" max="16384" width="9.140625" style="170"/>
  </cols>
  <sheetData>
    <row r="1" spans="1:17" ht="53.25" customHeight="1" x14ac:dyDescent="0.25">
      <c r="A1" s="163" t="s">
        <v>12</v>
      </c>
      <c r="B1" s="163" t="s">
        <v>0</v>
      </c>
      <c r="C1" s="163" t="s">
        <v>42</v>
      </c>
      <c r="D1" s="163" t="s">
        <v>43</v>
      </c>
      <c r="E1" s="163" t="s">
        <v>41</v>
      </c>
      <c r="F1" s="163" t="s">
        <v>50</v>
      </c>
      <c r="G1" s="163" t="s">
        <v>1</v>
      </c>
      <c r="H1" s="163" t="s">
        <v>56</v>
      </c>
      <c r="I1" s="163" t="s">
        <v>74</v>
      </c>
      <c r="J1" s="34" t="s">
        <v>152</v>
      </c>
      <c r="K1" s="166" t="s">
        <v>366</v>
      </c>
      <c r="L1" s="18" t="s">
        <v>2</v>
      </c>
      <c r="M1" s="6"/>
      <c r="N1" s="163" t="s">
        <v>14</v>
      </c>
      <c r="O1" s="163">
        <f>SUM(B3:B33)</f>
        <v>58.5</v>
      </c>
      <c r="P1" s="263" t="s">
        <v>154</v>
      </c>
      <c r="Q1" s="263"/>
    </row>
    <row r="2" spans="1:17" ht="16.5" x14ac:dyDescent="0.3">
      <c r="B2" s="117">
        <f>SUM(B3:B33)</f>
        <v>58.5</v>
      </c>
      <c r="C2" s="117">
        <f t="shared" ref="C2" si="0">SUM(C3:C33)</f>
        <v>15.05</v>
      </c>
      <c r="D2" s="117">
        <f>SUM(D3:D33)</f>
        <v>18.5</v>
      </c>
      <c r="E2" s="117">
        <f t="shared" ref="E2:H2" si="1">SUM(E3:E33)</f>
        <v>17.05</v>
      </c>
      <c r="F2" s="117">
        <f>SUM(F3:F33)</f>
        <v>34.5</v>
      </c>
      <c r="G2" s="117">
        <f t="shared" si="1"/>
        <v>54</v>
      </c>
      <c r="H2" s="117">
        <f t="shared" si="1"/>
        <v>13.5</v>
      </c>
      <c r="I2" s="117">
        <f>SUM(I3:I30)/60</f>
        <v>6.1</v>
      </c>
      <c r="J2" s="117"/>
      <c r="K2" s="106">
        <f>SUM(E2:G2)</f>
        <v>105.55</v>
      </c>
      <c r="L2" s="171"/>
      <c r="M2" s="170" t="s">
        <v>13</v>
      </c>
      <c r="N2" s="122" t="s">
        <v>15</v>
      </c>
      <c r="O2" s="122">
        <f>SUM(C3:E30)</f>
        <v>46.55</v>
      </c>
      <c r="P2" s="263"/>
      <c r="Q2" s="263"/>
    </row>
    <row r="3" spans="1:17" ht="16.5" x14ac:dyDescent="0.3">
      <c r="A3" s="8">
        <v>46143</v>
      </c>
      <c r="B3" s="169">
        <v>4</v>
      </c>
      <c r="C3" s="118">
        <v>2.5</v>
      </c>
      <c r="D3" s="119">
        <v>0.75</v>
      </c>
      <c r="E3" s="119">
        <v>0.25</v>
      </c>
      <c r="F3" s="120">
        <v>0.25</v>
      </c>
      <c r="G3" s="88">
        <v>0.75</v>
      </c>
      <c r="H3" s="120"/>
      <c r="I3" s="117">
        <v>26</v>
      </c>
      <c r="J3" s="117" t="s">
        <v>318</v>
      </c>
      <c r="K3" s="171" t="s">
        <v>319</v>
      </c>
      <c r="L3" s="19" t="s">
        <v>24</v>
      </c>
      <c r="M3" s="130">
        <f>SUM(M4:M28)</f>
        <v>111.3</v>
      </c>
      <c r="N3" s="121" t="s">
        <v>16</v>
      </c>
      <c r="O3" s="121">
        <f>SUM(F3:H30)</f>
        <v>82.75</v>
      </c>
      <c r="P3" s="170">
        <f>SUM(P4:P32)</f>
        <v>20</v>
      </c>
    </row>
    <row r="4" spans="1:17" ht="16.5" x14ac:dyDescent="0.3">
      <c r="A4" s="8">
        <v>46144</v>
      </c>
      <c r="B4" s="163">
        <v>2</v>
      </c>
      <c r="C4" s="119">
        <v>1</v>
      </c>
      <c r="D4" s="119"/>
      <c r="E4" s="119">
        <v>0.25</v>
      </c>
      <c r="F4" s="119">
        <v>1.25</v>
      </c>
      <c r="G4" s="117">
        <v>7.5</v>
      </c>
      <c r="H4" s="117"/>
      <c r="I4" s="117"/>
      <c r="J4" s="117" t="s">
        <v>364</v>
      </c>
      <c r="K4" s="171" t="s">
        <v>363</v>
      </c>
      <c r="L4" s="163" t="s">
        <v>354</v>
      </c>
      <c r="M4" s="131">
        <v>12</v>
      </c>
      <c r="P4" s="170">
        <v>1.5</v>
      </c>
    </row>
    <row r="5" spans="1:17" ht="16.5" x14ac:dyDescent="0.3">
      <c r="A5" s="8">
        <v>46145</v>
      </c>
      <c r="B5" s="163">
        <v>4.3</v>
      </c>
      <c r="C5" s="119">
        <v>2.5</v>
      </c>
      <c r="D5" s="119">
        <v>0.25</v>
      </c>
      <c r="E5" s="119">
        <v>0.25</v>
      </c>
      <c r="F5" s="119">
        <v>1</v>
      </c>
      <c r="G5" s="117">
        <v>2</v>
      </c>
      <c r="H5" s="117">
        <v>1</v>
      </c>
      <c r="I5" s="117">
        <v>51</v>
      </c>
      <c r="J5" s="117" t="s">
        <v>322</v>
      </c>
      <c r="K5" s="171" t="s">
        <v>321</v>
      </c>
      <c r="L5" s="163" t="s">
        <v>415</v>
      </c>
      <c r="M5" s="132">
        <v>5.8</v>
      </c>
      <c r="N5" s="170" t="s">
        <v>196</v>
      </c>
      <c r="P5" s="170">
        <v>1</v>
      </c>
    </row>
    <row r="6" spans="1:17" ht="16.5" x14ac:dyDescent="0.3">
      <c r="A6" s="8">
        <v>46146</v>
      </c>
      <c r="B6" s="163">
        <v>1</v>
      </c>
      <c r="C6" s="119">
        <v>0.5</v>
      </c>
      <c r="D6" s="119"/>
      <c r="E6" s="170">
        <v>1.5</v>
      </c>
      <c r="F6" s="170">
        <v>0.25</v>
      </c>
      <c r="G6" s="170">
        <v>0.5</v>
      </c>
      <c r="I6" s="170">
        <v>3</v>
      </c>
      <c r="J6" s="117" t="s">
        <v>323</v>
      </c>
      <c r="K6" s="12" t="s">
        <v>325</v>
      </c>
      <c r="L6" s="163" t="s">
        <v>356</v>
      </c>
      <c r="M6" s="132"/>
      <c r="N6" s="16" t="s">
        <v>19</v>
      </c>
      <c r="O6" s="16" t="s">
        <v>21</v>
      </c>
    </row>
    <row r="7" spans="1:17" ht="16.5" x14ac:dyDescent="0.3">
      <c r="A7" s="8">
        <v>46147</v>
      </c>
      <c r="B7" s="163"/>
      <c r="C7" s="119"/>
      <c r="D7" s="119">
        <v>0.5</v>
      </c>
      <c r="G7" s="170">
        <v>3</v>
      </c>
      <c r="K7" s="12" t="s">
        <v>327</v>
      </c>
      <c r="L7" s="163" t="s">
        <v>414</v>
      </c>
      <c r="M7" s="145">
        <v>1.5</v>
      </c>
      <c r="N7" s="124" t="s">
        <v>123</v>
      </c>
      <c r="O7" s="31" t="s">
        <v>173</v>
      </c>
    </row>
    <row r="8" spans="1:17" ht="16.5" x14ac:dyDescent="0.3">
      <c r="A8" s="8">
        <v>46148</v>
      </c>
      <c r="B8" s="163"/>
      <c r="C8" s="119"/>
      <c r="D8" s="119"/>
      <c r="G8" s="170">
        <v>4</v>
      </c>
      <c r="K8" s="12" t="s">
        <v>327</v>
      </c>
      <c r="L8" s="163" t="s">
        <v>324</v>
      </c>
      <c r="M8" s="146">
        <v>0.5</v>
      </c>
      <c r="N8" s="125" t="s">
        <v>126</v>
      </c>
      <c r="O8" s="32" t="s">
        <v>62</v>
      </c>
    </row>
    <row r="9" spans="1:17" ht="16.5" x14ac:dyDescent="0.3">
      <c r="A9" s="8">
        <v>46149</v>
      </c>
      <c r="B9" s="163"/>
      <c r="C9" s="119"/>
      <c r="D9" s="119"/>
      <c r="G9" s="170">
        <v>4</v>
      </c>
      <c r="K9" s="12" t="s">
        <v>328</v>
      </c>
      <c r="L9" s="163" t="s">
        <v>109</v>
      </c>
      <c r="M9" s="131">
        <v>0.5</v>
      </c>
      <c r="N9" s="170" t="s">
        <v>127</v>
      </c>
      <c r="O9" s="170" t="s">
        <v>129</v>
      </c>
    </row>
    <row r="10" spans="1:17" ht="16.5" x14ac:dyDescent="0.3">
      <c r="A10" s="8">
        <v>46150</v>
      </c>
      <c r="B10" s="163"/>
      <c r="C10" s="119"/>
      <c r="D10" s="119"/>
      <c r="H10" s="170">
        <v>3</v>
      </c>
      <c r="K10" s="12" t="s">
        <v>329</v>
      </c>
      <c r="L10" s="163" t="s">
        <v>320</v>
      </c>
      <c r="M10" s="132">
        <v>1</v>
      </c>
      <c r="N10" s="126" t="s">
        <v>128</v>
      </c>
      <c r="O10" s="75" t="s">
        <v>130</v>
      </c>
    </row>
    <row r="11" spans="1:17" ht="16.5" x14ac:dyDescent="0.3">
      <c r="A11" s="8">
        <v>46151</v>
      </c>
      <c r="B11" s="163"/>
      <c r="C11" s="119"/>
      <c r="D11" s="119"/>
      <c r="G11" s="170">
        <v>10</v>
      </c>
      <c r="K11" s="170" t="s">
        <v>326</v>
      </c>
      <c r="L11" s="163" t="s">
        <v>372</v>
      </c>
      <c r="M11" s="132">
        <v>8.75</v>
      </c>
      <c r="N11" s="125" t="s">
        <v>125</v>
      </c>
      <c r="O11" s="32" t="s">
        <v>63</v>
      </c>
    </row>
    <row r="12" spans="1:17" ht="16.5" x14ac:dyDescent="0.3">
      <c r="A12" s="8">
        <v>46152</v>
      </c>
      <c r="B12" s="163">
        <v>2.25</v>
      </c>
      <c r="C12" s="119">
        <v>0.25</v>
      </c>
      <c r="D12" s="119">
        <v>2.25</v>
      </c>
      <c r="I12" s="170">
        <v>12</v>
      </c>
      <c r="J12" s="170" t="s">
        <v>331</v>
      </c>
      <c r="L12" s="163" t="s">
        <v>330</v>
      </c>
      <c r="M12" s="132">
        <v>11</v>
      </c>
      <c r="N12" s="170" t="s">
        <v>131</v>
      </c>
      <c r="O12" s="170" t="s">
        <v>59</v>
      </c>
    </row>
    <row r="13" spans="1:17" ht="16.5" x14ac:dyDescent="0.3">
      <c r="A13" s="8">
        <v>46153</v>
      </c>
      <c r="B13" s="163"/>
      <c r="C13" s="119"/>
      <c r="D13" s="119"/>
      <c r="H13" s="170">
        <v>3</v>
      </c>
      <c r="K13" s="12" t="s">
        <v>332</v>
      </c>
      <c r="L13" s="163" t="s">
        <v>377</v>
      </c>
      <c r="M13" s="132">
        <v>10.75</v>
      </c>
      <c r="N13" s="125" t="s">
        <v>135</v>
      </c>
      <c r="O13" s="40" t="s">
        <v>134</v>
      </c>
      <c r="P13" s="170">
        <v>6</v>
      </c>
    </row>
    <row r="14" spans="1:17" ht="34.5" customHeight="1" x14ac:dyDescent="0.3">
      <c r="A14" s="8">
        <v>46154</v>
      </c>
      <c r="B14" s="163">
        <v>0</v>
      </c>
      <c r="C14" s="119"/>
      <c r="E14" s="170">
        <v>3.5</v>
      </c>
      <c r="F14" s="170">
        <v>0.75</v>
      </c>
      <c r="K14" s="170" t="s">
        <v>333</v>
      </c>
      <c r="L14" s="163" t="s">
        <v>373</v>
      </c>
      <c r="M14" s="133">
        <v>11.25</v>
      </c>
      <c r="N14" s="36" t="s">
        <v>132</v>
      </c>
      <c r="O14" s="36" t="s">
        <v>133</v>
      </c>
    </row>
    <row r="15" spans="1:17" ht="16.5" x14ac:dyDescent="0.3">
      <c r="A15" s="8">
        <v>46155</v>
      </c>
      <c r="B15" s="163">
        <v>0</v>
      </c>
      <c r="C15" s="119"/>
      <c r="D15" s="119"/>
      <c r="G15" s="170">
        <v>2.5</v>
      </c>
      <c r="H15" s="170">
        <v>1</v>
      </c>
      <c r="K15" s="170" t="s">
        <v>334</v>
      </c>
      <c r="L15" s="163" t="s">
        <v>195</v>
      </c>
      <c r="M15" s="134"/>
      <c r="N15" s="127" t="s">
        <v>54</v>
      </c>
      <c r="O15" s="33" t="s">
        <v>3</v>
      </c>
    </row>
    <row r="16" spans="1:17" ht="16.5" x14ac:dyDescent="0.3">
      <c r="A16" s="8">
        <v>46156</v>
      </c>
      <c r="B16" s="163"/>
      <c r="C16" s="119"/>
      <c r="D16" s="119"/>
      <c r="F16" s="170">
        <v>0.5</v>
      </c>
      <c r="G16" s="170">
        <v>2</v>
      </c>
      <c r="H16" s="170">
        <v>1</v>
      </c>
      <c r="K16" s="170" t="s">
        <v>338</v>
      </c>
      <c r="L16" s="163" t="s">
        <v>374</v>
      </c>
      <c r="M16" s="132">
        <v>3.25</v>
      </c>
      <c r="N16" s="127" t="s">
        <v>136</v>
      </c>
      <c r="O16" s="33" t="s">
        <v>55</v>
      </c>
    </row>
    <row r="17" spans="1:16" ht="16.5" x14ac:dyDescent="0.3">
      <c r="A17" s="8">
        <v>46157</v>
      </c>
      <c r="B17" s="163"/>
      <c r="C17" s="119"/>
      <c r="D17" s="119">
        <v>1</v>
      </c>
      <c r="G17" s="170">
        <v>4</v>
      </c>
      <c r="K17" s="170" t="s">
        <v>335</v>
      </c>
      <c r="L17" s="163" t="s">
        <v>90</v>
      </c>
      <c r="M17" s="132">
        <v>0.75</v>
      </c>
      <c r="N17" s="127" t="s">
        <v>137</v>
      </c>
      <c r="O17" s="33" t="s">
        <v>40</v>
      </c>
    </row>
    <row r="18" spans="1:16" ht="16.5" x14ac:dyDescent="0.3">
      <c r="A18" s="8">
        <v>46158</v>
      </c>
      <c r="B18" s="163">
        <v>3.5</v>
      </c>
      <c r="C18" s="119"/>
      <c r="D18" s="119">
        <v>4</v>
      </c>
      <c r="G18" s="170">
        <v>1</v>
      </c>
      <c r="H18" s="170">
        <v>1</v>
      </c>
      <c r="I18" s="170">
        <v>10</v>
      </c>
      <c r="J18" s="170" t="s">
        <v>353</v>
      </c>
      <c r="K18" s="170" t="s">
        <v>337</v>
      </c>
      <c r="L18" s="163" t="s">
        <v>379</v>
      </c>
      <c r="M18" s="132">
        <v>5.25</v>
      </c>
      <c r="N18" s="170" t="s">
        <v>71</v>
      </c>
    </row>
    <row r="19" spans="1:16" ht="16.5" x14ac:dyDescent="0.3">
      <c r="A19" s="8">
        <v>46159</v>
      </c>
      <c r="B19" s="163">
        <v>1.75</v>
      </c>
      <c r="C19" s="119"/>
      <c r="D19" s="119">
        <v>1</v>
      </c>
      <c r="E19" s="170">
        <v>1.5</v>
      </c>
      <c r="F19" s="170">
        <v>3.5</v>
      </c>
      <c r="G19" s="170">
        <v>1</v>
      </c>
      <c r="J19" s="170" t="s">
        <v>351</v>
      </c>
      <c r="K19" s="170" t="s">
        <v>352</v>
      </c>
      <c r="L19" s="163" t="s">
        <v>362</v>
      </c>
      <c r="M19" s="145">
        <v>4</v>
      </c>
      <c r="N19" s="128"/>
      <c r="P19" s="168"/>
    </row>
    <row r="20" spans="1:16" ht="16.5" x14ac:dyDescent="0.3">
      <c r="A20" s="8">
        <v>46160</v>
      </c>
      <c r="B20" s="163">
        <v>2</v>
      </c>
      <c r="C20" s="119">
        <v>0.3</v>
      </c>
      <c r="D20" s="119">
        <v>0.15</v>
      </c>
      <c r="F20" s="170">
        <v>1</v>
      </c>
      <c r="H20" s="170">
        <v>1</v>
      </c>
      <c r="I20" s="170">
        <v>11</v>
      </c>
      <c r="J20" s="170" t="s">
        <v>341</v>
      </c>
      <c r="K20" s="170" t="s">
        <v>340</v>
      </c>
      <c r="L20" s="163" t="s">
        <v>336</v>
      </c>
      <c r="M20" s="147">
        <v>13.5</v>
      </c>
      <c r="N20" s="129" t="s">
        <v>45</v>
      </c>
      <c r="O20" s="72">
        <v>10</v>
      </c>
      <c r="P20" s="168"/>
    </row>
    <row r="21" spans="1:16" ht="16.5" x14ac:dyDescent="0.3">
      <c r="A21" s="8">
        <v>46161</v>
      </c>
      <c r="B21" s="163">
        <v>2.25</v>
      </c>
      <c r="C21" s="119"/>
      <c r="D21" s="119"/>
      <c r="E21" s="170">
        <v>2</v>
      </c>
      <c r="G21" s="170">
        <v>0.75</v>
      </c>
      <c r="I21" s="170">
        <v>10</v>
      </c>
      <c r="J21" s="170" t="s">
        <v>342</v>
      </c>
      <c r="K21" s="170" t="s">
        <v>343</v>
      </c>
      <c r="L21" s="163" t="s">
        <v>339</v>
      </c>
      <c r="M21" s="134">
        <v>4</v>
      </c>
      <c r="N21" s="129" t="s">
        <v>46</v>
      </c>
      <c r="O21" s="72">
        <v>20</v>
      </c>
      <c r="P21" s="86"/>
    </row>
    <row r="22" spans="1:16" ht="16.5" x14ac:dyDescent="0.3">
      <c r="A22" s="8">
        <v>46162</v>
      </c>
      <c r="B22" s="163">
        <v>2.5</v>
      </c>
      <c r="C22" s="119">
        <v>0.25</v>
      </c>
      <c r="D22" s="119">
        <v>1.6</v>
      </c>
      <c r="F22" s="170">
        <v>0.25</v>
      </c>
      <c r="G22" s="170">
        <v>1.25</v>
      </c>
      <c r="I22" s="170">
        <v>16</v>
      </c>
      <c r="J22" s="170" t="s">
        <v>345</v>
      </c>
      <c r="K22" s="170" t="s">
        <v>344</v>
      </c>
      <c r="L22" s="163" t="s">
        <v>367</v>
      </c>
      <c r="M22" s="151">
        <v>1.5</v>
      </c>
      <c r="N22" s="129" t="s">
        <v>58</v>
      </c>
      <c r="O22" s="72">
        <v>30</v>
      </c>
      <c r="P22" s="86">
        <v>3</v>
      </c>
    </row>
    <row r="23" spans="1:16" ht="16.5" x14ac:dyDescent="0.3">
      <c r="A23" s="8">
        <v>46163</v>
      </c>
      <c r="B23" s="163">
        <v>2.5</v>
      </c>
      <c r="C23" s="119"/>
      <c r="D23" s="119"/>
      <c r="E23" s="170">
        <v>1.5</v>
      </c>
      <c r="G23" s="170">
        <v>0.5</v>
      </c>
      <c r="I23" s="170">
        <v>12</v>
      </c>
      <c r="J23" s="170" t="s">
        <v>346</v>
      </c>
      <c r="K23" s="164" t="s">
        <v>347</v>
      </c>
      <c r="L23" s="157" t="s">
        <v>349</v>
      </c>
      <c r="M23" s="10">
        <v>1</v>
      </c>
      <c r="N23" s="73" t="s">
        <v>47</v>
      </c>
      <c r="O23" s="73">
        <v>20</v>
      </c>
      <c r="P23" s="86"/>
    </row>
    <row r="24" spans="1:16" ht="16.5" x14ac:dyDescent="0.3">
      <c r="A24" s="8">
        <v>46164</v>
      </c>
      <c r="B24" s="163">
        <v>2.2000000000000002</v>
      </c>
      <c r="C24" s="119">
        <v>0.5</v>
      </c>
      <c r="D24" s="119">
        <v>0.25</v>
      </c>
      <c r="E24" s="119"/>
      <c r="F24" s="117">
        <v>0.5</v>
      </c>
      <c r="G24" s="117">
        <v>2</v>
      </c>
      <c r="H24" s="117">
        <v>1</v>
      </c>
      <c r="I24" s="117">
        <v>40</v>
      </c>
      <c r="J24" s="117" t="s">
        <v>350</v>
      </c>
      <c r="K24" s="5" t="s">
        <v>348</v>
      </c>
      <c r="L24" s="157"/>
      <c r="M24" s="133">
        <v>15</v>
      </c>
      <c r="N24" s="73" t="s">
        <v>48</v>
      </c>
      <c r="O24" s="73">
        <v>10</v>
      </c>
      <c r="P24" s="170">
        <v>1.5</v>
      </c>
    </row>
    <row r="25" spans="1:16" ht="16.5" x14ac:dyDescent="0.3">
      <c r="A25" s="8">
        <v>46165</v>
      </c>
      <c r="B25" s="163">
        <v>3</v>
      </c>
      <c r="C25" s="119">
        <v>4</v>
      </c>
      <c r="D25" s="119">
        <v>1.5</v>
      </c>
      <c r="E25" s="119">
        <v>1</v>
      </c>
      <c r="F25" s="117">
        <v>1</v>
      </c>
      <c r="G25" s="117"/>
      <c r="H25" s="117"/>
      <c r="I25" s="117">
        <v>20</v>
      </c>
      <c r="J25" s="88" t="s">
        <v>359</v>
      </c>
      <c r="K25" s="171" t="s">
        <v>357</v>
      </c>
      <c r="L25" s="157" t="s">
        <v>150</v>
      </c>
      <c r="M25" s="10"/>
      <c r="N25" s="73" t="s">
        <v>22</v>
      </c>
      <c r="O25" s="73">
        <v>15</v>
      </c>
    </row>
    <row r="26" spans="1:16" ht="16.5" x14ac:dyDescent="0.3">
      <c r="A26" s="8">
        <v>46166</v>
      </c>
      <c r="B26" s="163">
        <v>2.75</v>
      </c>
      <c r="C26" s="119">
        <v>1</v>
      </c>
      <c r="D26" s="119">
        <v>0.75</v>
      </c>
      <c r="E26" s="119">
        <v>2</v>
      </c>
      <c r="F26" s="117">
        <v>3.5</v>
      </c>
      <c r="G26" s="117">
        <v>0.75</v>
      </c>
      <c r="H26" s="117"/>
      <c r="I26" s="117">
        <v>20</v>
      </c>
      <c r="J26" s="117" t="s">
        <v>358</v>
      </c>
      <c r="K26" s="171" t="s">
        <v>355</v>
      </c>
      <c r="L26" s="20"/>
      <c r="M26" s="10"/>
      <c r="N26" s="74"/>
      <c r="O26" s="74"/>
    </row>
    <row r="27" spans="1:16" ht="16.5" x14ac:dyDescent="0.3">
      <c r="A27" s="8">
        <v>46167</v>
      </c>
      <c r="B27" s="163">
        <v>7</v>
      </c>
      <c r="C27" s="119">
        <v>1</v>
      </c>
      <c r="D27" s="119">
        <v>2</v>
      </c>
      <c r="E27" s="119"/>
      <c r="F27" s="117">
        <v>2.75</v>
      </c>
      <c r="G27" s="117">
        <v>0.5</v>
      </c>
      <c r="H27" s="117"/>
      <c r="I27" s="170">
        <v>65</v>
      </c>
      <c r="J27" s="170" t="s">
        <v>361</v>
      </c>
      <c r="K27" s="171" t="s">
        <v>360</v>
      </c>
      <c r="L27" s="9"/>
      <c r="M27" s="10"/>
      <c r="N27" s="74" t="s">
        <v>59</v>
      </c>
      <c r="O27" s="74">
        <v>15</v>
      </c>
      <c r="P27" s="170">
        <v>7</v>
      </c>
    </row>
    <row r="28" spans="1:16" ht="16.5" x14ac:dyDescent="0.3">
      <c r="A28" s="8">
        <v>46168</v>
      </c>
      <c r="B28" s="163">
        <v>2</v>
      </c>
      <c r="C28" s="119"/>
      <c r="D28" s="119"/>
      <c r="E28" s="119"/>
      <c r="F28" s="117">
        <v>0.5</v>
      </c>
      <c r="G28" s="117">
        <v>1.25</v>
      </c>
      <c r="H28" s="117"/>
      <c r="I28" s="117">
        <v>10</v>
      </c>
      <c r="J28" s="117" t="s">
        <v>365</v>
      </c>
      <c r="K28" s="171" t="s">
        <v>371</v>
      </c>
      <c r="L28" s="17"/>
    </row>
    <row r="29" spans="1:16" ht="16.5" x14ac:dyDescent="0.3">
      <c r="A29" s="8">
        <v>46169</v>
      </c>
      <c r="B29" s="163">
        <v>1.5</v>
      </c>
      <c r="C29" s="119">
        <v>0.5</v>
      </c>
      <c r="D29" s="119"/>
      <c r="E29" s="119">
        <v>1</v>
      </c>
      <c r="F29" s="117"/>
      <c r="G29" s="117">
        <v>1</v>
      </c>
      <c r="I29" s="117">
        <v>30</v>
      </c>
      <c r="J29" s="117" t="s">
        <v>370</v>
      </c>
      <c r="K29" s="12" t="s">
        <v>369</v>
      </c>
      <c r="L29" s="171"/>
    </row>
    <row r="30" spans="1:16" ht="16.5" x14ac:dyDescent="0.3">
      <c r="A30" s="8">
        <v>46170</v>
      </c>
      <c r="B30" s="163">
        <v>3.5</v>
      </c>
      <c r="C30" s="119">
        <v>0.5</v>
      </c>
      <c r="D30" s="119"/>
      <c r="E30" s="119">
        <v>1</v>
      </c>
      <c r="F30" s="117">
        <v>0.5</v>
      </c>
      <c r="G30" s="117">
        <v>3</v>
      </c>
      <c r="H30" s="117"/>
      <c r="I30" s="117">
        <v>30</v>
      </c>
      <c r="J30" s="117" t="s">
        <v>368</v>
      </c>
      <c r="K30" s="171"/>
      <c r="L30" s="171"/>
      <c r="M30" s="171"/>
      <c r="N30" s="171"/>
      <c r="O30" s="171"/>
    </row>
    <row r="31" spans="1:16" ht="16.5" x14ac:dyDescent="0.3">
      <c r="A31" s="8">
        <v>46171</v>
      </c>
      <c r="B31" s="163"/>
      <c r="C31" s="119"/>
      <c r="D31" s="119"/>
      <c r="E31" s="119"/>
      <c r="F31" s="117">
        <v>0.75</v>
      </c>
      <c r="G31" s="117"/>
      <c r="H31" s="117"/>
      <c r="I31" s="117"/>
      <c r="J31" s="117"/>
      <c r="K31" s="5" t="s">
        <v>376</v>
      </c>
      <c r="L31" s="171"/>
      <c r="M31" s="171"/>
      <c r="N31" s="171"/>
      <c r="O31" s="171"/>
    </row>
    <row r="32" spans="1:16" ht="33" x14ac:dyDescent="0.3">
      <c r="A32" s="8">
        <v>46172</v>
      </c>
      <c r="B32" s="169">
        <v>5.25</v>
      </c>
      <c r="C32" s="119">
        <v>0.25</v>
      </c>
      <c r="D32" s="119">
        <v>1.5</v>
      </c>
      <c r="E32" s="119">
        <v>0.5</v>
      </c>
      <c r="F32" s="117">
        <v>1.25</v>
      </c>
      <c r="G32" s="117">
        <v>0.75</v>
      </c>
      <c r="H32" s="117">
        <v>1.5</v>
      </c>
      <c r="I32" s="117">
        <v>16</v>
      </c>
      <c r="J32" s="117" t="s">
        <v>380</v>
      </c>
      <c r="K32" s="5" t="s">
        <v>375</v>
      </c>
      <c r="L32" s="171"/>
      <c r="M32" s="171"/>
      <c r="N32" s="171"/>
      <c r="O32" s="171"/>
    </row>
    <row r="33" spans="1:15" ht="16.5" x14ac:dyDescent="0.3">
      <c r="A33" s="8">
        <v>46173</v>
      </c>
      <c r="B33" s="169">
        <v>3.25</v>
      </c>
      <c r="C33" s="171"/>
      <c r="D33" s="171">
        <v>1</v>
      </c>
      <c r="E33" s="171">
        <v>0.8</v>
      </c>
      <c r="F33" s="171">
        <v>15</v>
      </c>
      <c r="G33" s="171"/>
      <c r="H33" s="171"/>
      <c r="I33" s="117">
        <v>27</v>
      </c>
      <c r="J33" s="171" t="s">
        <v>382</v>
      </c>
      <c r="L33" s="171"/>
      <c r="M33" s="171"/>
      <c r="N33" s="171"/>
      <c r="O33" s="171"/>
    </row>
    <row r="34" spans="1:15" ht="16.5" x14ac:dyDescent="0.3">
      <c r="A34" s="171" t="s">
        <v>17</v>
      </c>
      <c r="B34" s="171">
        <v>3</v>
      </c>
      <c r="C34" s="171"/>
      <c r="D34" s="171"/>
      <c r="E34" s="171">
        <v>1</v>
      </c>
      <c r="F34" s="171">
        <v>2</v>
      </c>
      <c r="G34" s="171">
        <v>1.5</v>
      </c>
      <c r="H34" s="171">
        <v>2.25</v>
      </c>
      <c r="I34" s="171"/>
      <c r="J34" s="171"/>
      <c r="K34" s="171" t="s">
        <v>378</v>
      </c>
      <c r="L34" s="171"/>
      <c r="M34" s="171"/>
      <c r="N34" s="171"/>
      <c r="O34" s="171"/>
    </row>
    <row r="35" spans="1:15" ht="16.5" x14ac:dyDescent="0.3">
      <c r="A35" s="171"/>
      <c r="B35" s="171"/>
      <c r="C35" s="171"/>
      <c r="D35" s="171"/>
      <c r="E35" s="171"/>
      <c r="F35" s="171"/>
      <c r="G35" s="171"/>
      <c r="H35" s="171"/>
      <c r="I35" s="171"/>
      <c r="J35" s="171"/>
      <c r="K35" s="171"/>
      <c r="L35" s="171"/>
    </row>
    <row r="36" spans="1:15" ht="16.5" x14ac:dyDescent="0.3">
      <c r="A36" s="171"/>
      <c r="B36" s="171"/>
      <c r="C36" s="171"/>
      <c r="D36" s="171"/>
      <c r="E36" s="171"/>
      <c r="F36" s="171"/>
      <c r="G36" s="171"/>
      <c r="H36" s="171"/>
      <c r="I36" s="171"/>
      <c r="J36" s="171"/>
      <c r="K36" s="171"/>
      <c r="L36" s="171"/>
    </row>
    <row r="37" spans="1:15" ht="16.5" x14ac:dyDescent="0.3">
      <c r="L37" s="171"/>
    </row>
    <row r="53" spans="4:8" x14ac:dyDescent="0.25">
      <c r="D53" s="170" t="s">
        <v>20</v>
      </c>
      <c r="H53" s="170">
        <v>1</v>
      </c>
    </row>
    <row r="55" spans="4:8" x14ac:dyDescent="0.25">
      <c r="H55" s="170">
        <v>1</v>
      </c>
    </row>
    <row r="56" spans="4:8" x14ac:dyDescent="0.25">
      <c r="H56" s="170">
        <v>2</v>
      </c>
    </row>
    <row r="57" spans="4:8" x14ac:dyDescent="0.25">
      <c r="E57" s="13"/>
    </row>
    <row r="58" spans="4:8" x14ac:dyDescent="0.25">
      <c r="E58" s="13"/>
    </row>
    <row r="60" spans="4:8" x14ac:dyDescent="0.25">
      <c r="E60" s="13"/>
    </row>
  </sheetData>
  <mergeCells count="1">
    <mergeCell ref="P1:Q2"/>
  </mergeCells>
  <conditionalFormatting sqref="J1">
    <cfRule type="cellIs" priority="9" operator="lessThanOrEqual">
      <formula>$C$36</formula>
    </cfRule>
  </conditionalFormatting>
  <conditionalFormatting sqref="B3:B32">
    <cfRule type="cellIs" dxfId="43" priority="7" operator="lessThan">
      <formula>$B$34</formula>
    </cfRule>
    <cfRule type="cellIs" dxfId="42" priority="8" operator="greaterThan">
      <formula>$B$34</formula>
    </cfRule>
  </conditionalFormatting>
  <conditionalFormatting sqref="A3:A33">
    <cfRule type="expression" dxfId="41" priority="6">
      <formula>WEEKDAY(A3,2)&gt;5</formula>
    </cfRule>
  </conditionalFormatting>
  <conditionalFormatting sqref="I4:J6 I3 J9:J11 J13:J26 I30:J32 J28:J29">
    <cfRule type="colorScale" priority="5">
      <colorScale>
        <cfvo type="num" val="15"/>
        <cfvo type="num" val="30"/>
        <color rgb="FFFF7128"/>
        <color rgb="FFFFEF9C"/>
      </colorScale>
    </cfRule>
  </conditionalFormatting>
  <conditionalFormatting sqref="I7:I29">
    <cfRule type="colorScale" priority="4">
      <colorScale>
        <cfvo type="num" val="15"/>
        <cfvo type="num" val="30"/>
        <color rgb="FFFF7128"/>
        <color rgb="FFFFEF9C"/>
      </colorScale>
    </cfRule>
  </conditionalFormatting>
  <conditionalFormatting sqref="B33">
    <cfRule type="cellIs" dxfId="40" priority="2" operator="lessThan">
      <formula>$B$34</formula>
    </cfRule>
    <cfRule type="cellIs" dxfId="39" priority="3" operator="greaterThan">
      <formula>$B$34</formula>
    </cfRule>
  </conditionalFormatting>
  <conditionalFormatting sqref="I33">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workbookViewId="0">
      <pane ySplit="1" topLeftCell="A2" activePane="bottomLeft" state="frozen"/>
      <selection pane="bottomLeft" activeCell="C2" sqref="C2"/>
    </sheetView>
  </sheetViews>
  <sheetFormatPr defaultRowHeight="15" x14ac:dyDescent="0.25"/>
  <cols>
    <col min="1" max="1" width="10.85546875" style="193" customWidth="1"/>
    <col min="2" max="2" width="8.42578125" style="193" customWidth="1"/>
    <col min="3" max="3" width="9.5703125" style="193" customWidth="1"/>
    <col min="4" max="4" width="8.42578125" style="193" customWidth="1"/>
    <col min="5" max="5" width="11.28515625" style="193" customWidth="1"/>
    <col min="6" max="6" width="8.28515625" style="193" customWidth="1"/>
    <col min="7" max="7" width="9.140625" style="193"/>
    <col min="8" max="8" width="6.5703125" style="193" customWidth="1"/>
    <col min="9" max="9" width="10.28515625" style="191" customWidth="1"/>
    <col min="10" max="10" width="23.7109375" style="88" customWidth="1"/>
    <col min="11" max="11" width="41.7109375" style="193" customWidth="1"/>
    <col min="12" max="12" width="61.28515625" style="193" customWidth="1"/>
    <col min="13" max="13" width="9.28515625" style="193" customWidth="1"/>
    <col min="14" max="14" width="19.85546875" style="193" bestFit="1" customWidth="1"/>
    <col min="15" max="15" width="14.28515625" style="193" customWidth="1"/>
    <col min="16" max="16384" width="9.140625" style="193"/>
  </cols>
  <sheetData>
    <row r="1" spans="1:17" ht="53.25" customHeight="1" x14ac:dyDescent="0.25">
      <c r="A1" s="172" t="s">
        <v>12</v>
      </c>
      <c r="B1" s="172" t="s">
        <v>0</v>
      </c>
      <c r="C1" s="172" t="s">
        <v>42</v>
      </c>
      <c r="D1" s="172" t="s">
        <v>43</v>
      </c>
      <c r="E1" s="172" t="s">
        <v>41</v>
      </c>
      <c r="F1" s="172" t="s">
        <v>50</v>
      </c>
      <c r="G1" s="172" t="s">
        <v>1</v>
      </c>
      <c r="H1" s="172" t="s">
        <v>56</v>
      </c>
      <c r="I1" s="189" t="s">
        <v>74</v>
      </c>
      <c r="J1" s="189" t="s">
        <v>152</v>
      </c>
      <c r="K1" s="172" t="s">
        <v>384</v>
      </c>
      <c r="L1" s="105" t="s">
        <v>2</v>
      </c>
      <c r="M1" s="6"/>
      <c r="N1" s="182" t="s">
        <v>14</v>
      </c>
      <c r="O1" s="182">
        <f>SUM(B3:B33)</f>
        <v>53.45</v>
      </c>
      <c r="P1" s="263" t="s">
        <v>154</v>
      </c>
      <c r="Q1" s="263"/>
    </row>
    <row r="2" spans="1:17" ht="16.5" x14ac:dyDescent="0.3">
      <c r="B2" s="117">
        <f>SUM(B3:B33)</f>
        <v>53.45</v>
      </c>
      <c r="C2" s="117">
        <f t="shared" ref="C2" si="0">SUM(C3:C33)</f>
        <v>18.5</v>
      </c>
      <c r="D2" s="117">
        <f>SUM(D3:D33)</f>
        <v>8.9</v>
      </c>
      <c r="E2" s="117">
        <f t="shared" ref="E2:H2" si="1">SUM(E3:E33)</f>
        <v>17.5</v>
      </c>
      <c r="F2" s="117">
        <f>SUM(F3:F33)</f>
        <v>27</v>
      </c>
      <c r="G2" s="117">
        <f t="shared" si="1"/>
        <v>82.75</v>
      </c>
      <c r="H2" s="117">
        <f t="shared" si="1"/>
        <v>7.5</v>
      </c>
      <c r="I2" s="117">
        <f>SUM(I3:I30)/60</f>
        <v>6.3666666666666663</v>
      </c>
      <c r="J2" s="117"/>
      <c r="K2" s="106">
        <f>SUM(E2:G2)</f>
        <v>127.25</v>
      </c>
      <c r="L2" s="195"/>
      <c r="M2" s="193" t="s">
        <v>13</v>
      </c>
      <c r="N2" s="122" t="s">
        <v>15</v>
      </c>
      <c r="O2" s="122">
        <f>SUM(C3:E30)</f>
        <v>44.9</v>
      </c>
      <c r="P2" s="263"/>
      <c r="Q2" s="263"/>
    </row>
    <row r="3" spans="1:17" ht="16.5" x14ac:dyDescent="0.3">
      <c r="A3" s="8">
        <v>46174</v>
      </c>
      <c r="B3" s="184">
        <v>1.75</v>
      </c>
      <c r="C3" s="118">
        <v>0.5</v>
      </c>
      <c r="D3" s="118">
        <v>0.25</v>
      </c>
      <c r="E3" s="118"/>
      <c r="F3" s="118">
        <v>0.5</v>
      </c>
      <c r="G3" s="118">
        <v>0.25</v>
      </c>
      <c r="H3" s="118"/>
      <c r="I3" s="117">
        <v>5</v>
      </c>
      <c r="J3" s="117" t="s">
        <v>385</v>
      </c>
      <c r="K3" s="195"/>
      <c r="L3" s="19" t="s">
        <v>24</v>
      </c>
      <c r="M3" s="130">
        <f>SUM(M4:M28)</f>
        <v>126</v>
      </c>
      <c r="N3" s="121" t="s">
        <v>16</v>
      </c>
      <c r="O3" s="121">
        <f>SUM(F3:H30)</f>
        <v>91.75</v>
      </c>
      <c r="P3" s="193">
        <f>SUM(P4:P32)</f>
        <v>2.25</v>
      </c>
    </row>
    <row r="4" spans="1:17" ht="16.5" x14ac:dyDescent="0.3">
      <c r="A4" s="8">
        <v>46175</v>
      </c>
      <c r="B4" s="183">
        <v>3.5</v>
      </c>
      <c r="C4" s="118">
        <v>0.5</v>
      </c>
      <c r="D4" s="118"/>
      <c r="E4" s="118"/>
      <c r="F4" s="118">
        <v>0.75</v>
      </c>
      <c r="G4" s="118"/>
      <c r="H4" s="118"/>
      <c r="I4" s="117"/>
      <c r="J4" s="117"/>
      <c r="K4" s="195"/>
      <c r="L4" s="172" t="s">
        <v>431</v>
      </c>
      <c r="M4" s="173">
        <v>8.75</v>
      </c>
    </row>
    <row r="5" spans="1:17" ht="33" x14ac:dyDescent="0.3">
      <c r="A5" s="8">
        <v>46176</v>
      </c>
      <c r="B5" s="183">
        <v>4.75</v>
      </c>
      <c r="C5" s="118">
        <v>1</v>
      </c>
      <c r="D5" s="118"/>
      <c r="E5" s="118"/>
      <c r="F5" s="118">
        <v>0.5</v>
      </c>
      <c r="G5" s="118">
        <v>0.8</v>
      </c>
      <c r="H5" s="118"/>
      <c r="I5" s="117">
        <v>38</v>
      </c>
      <c r="J5" s="117" t="s">
        <v>388</v>
      </c>
      <c r="K5" s="195" t="s">
        <v>387</v>
      </c>
      <c r="L5" s="172" t="s">
        <v>442</v>
      </c>
      <c r="M5" s="174">
        <v>6.75</v>
      </c>
      <c r="N5" s="193" t="s">
        <v>196</v>
      </c>
      <c r="P5" s="193">
        <v>3</v>
      </c>
    </row>
    <row r="6" spans="1:17" ht="33" x14ac:dyDescent="0.3">
      <c r="A6" s="8">
        <v>46177</v>
      </c>
      <c r="B6" s="183">
        <v>2.75</v>
      </c>
      <c r="C6" s="118">
        <v>0.25</v>
      </c>
      <c r="D6" s="118">
        <v>0.4</v>
      </c>
      <c r="E6" s="118"/>
      <c r="F6" s="118">
        <v>0.5</v>
      </c>
      <c r="G6" s="118">
        <v>0.25</v>
      </c>
      <c r="H6" s="118"/>
      <c r="I6" s="190">
        <v>38</v>
      </c>
      <c r="J6" s="117" t="s">
        <v>389</v>
      </c>
      <c r="K6" s="12"/>
      <c r="L6" s="172" t="s">
        <v>446</v>
      </c>
      <c r="M6" s="174"/>
      <c r="N6" s="16" t="s">
        <v>19</v>
      </c>
      <c r="O6" s="16" t="s">
        <v>21</v>
      </c>
    </row>
    <row r="7" spans="1:17" ht="16.5" x14ac:dyDescent="0.3">
      <c r="A7" s="8">
        <v>46178</v>
      </c>
      <c r="B7" s="183">
        <v>3.5</v>
      </c>
      <c r="C7" s="118">
        <v>0.25</v>
      </c>
      <c r="D7" s="118"/>
      <c r="E7" s="118"/>
      <c r="F7" s="118">
        <v>0.5</v>
      </c>
      <c r="G7" s="118">
        <v>1.2</v>
      </c>
      <c r="H7" s="118"/>
      <c r="I7" s="190"/>
      <c r="J7" s="117" t="s">
        <v>391</v>
      </c>
      <c r="K7" s="12" t="s">
        <v>390</v>
      </c>
      <c r="L7" s="172" t="s">
        <v>445</v>
      </c>
      <c r="M7" s="175">
        <v>2.75</v>
      </c>
      <c r="N7" s="124" t="s">
        <v>123</v>
      </c>
      <c r="O7" s="31" t="s">
        <v>173</v>
      </c>
    </row>
    <row r="8" spans="1:17" ht="33" x14ac:dyDescent="0.3">
      <c r="A8" s="8">
        <v>46179</v>
      </c>
      <c r="B8" s="183">
        <v>3.2</v>
      </c>
      <c r="C8" s="118">
        <v>0.5</v>
      </c>
      <c r="D8" s="118">
        <v>0.5</v>
      </c>
      <c r="E8" s="118">
        <v>0.5</v>
      </c>
      <c r="F8" s="118">
        <v>2</v>
      </c>
      <c r="G8" s="118">
        <v>7</v>
      </c>
      <c r="H8" s="118"/>
      <c r="I8" s="117">
        <v>23</v>
      </c>
      <c r="J8" s="117" t="s">
        <v>394</v>
      </c>
      <c r="K8" s="185" t="s">
        <v>393</v>
      </c>
      <c r="L8" s="172" t="s">
        <v>434</v>
      </c>
      <c r="M8" s="176">
        <v>2.5</v>
      </c>
      <c r="N8" s="125" t="s">
        <v>126</v>
      </c>
      <c r="O8" s="32" t="s">
        <v>62</v>
      </c>
      <c r="P8" s="193">
        <v>-6</v>
      </c>
    </row>
    <row r="9" spans="1:17" ht="16.5" x14ac:dyDescent="0.3">
      <c r="A9" s="8">
        <v>46180</v>
      </c>
      <c r="B9" s="183">
        <v>1</v>
      </c>
      <c r="C9" s="118">
        <v>0.5</v>
      </c>
      <c r="D9" s="118">
        <v>1</v>
      </c>
      <c r="E9" s="118">
        <v>3.25</v>
      </c>
      <c r="F9" s="118"/>
      <c r="G9" s="118">
        <v>4</v>
      </c>
      <c r="H9" s="118"/>
      <c r="I9" s="190"/>
      <c r="K9" s="12" t="s">
        <v>398</v>
      </c>
      <c r="L9" s="172" t="s">
        <v>448</v>
      </c>
      <c r="M9" s="173">
        <v>16.5</v>
      </c>
      <c r="N9" s="193" t="s">
        <v>127</v>
      </c>
      <c r="O9" s="193" t="s">
        <v>129</v>
      </c>
    </row>
    <row r="10" spans="1:17" ht="16.5" x14ac:dyDescent="0.3">
      <c r="A10" s="8">
        <v>46181</v>
      </c>
      <c r="B10" s="183">
        <v>4.5</v>
      </c>
      <c r="C10" s="118">
        <v>0.5</v>
      </c>
      <c r="D10" s="118"/>
      <c r="E10" s="118">
        <v>2</v>
      </c>
      <c r="F10" s="118"/>
      <c r="G10" s="118">
        <v>2.25</v>
      </c>
      <c r="H10" s="118"/>
      <c r="I10" s="190">
        <v>36</v>
      </c>
      <c r="J10" s="117" t="s">
        <v>399</v>
      </c>
      <c r="K10" s="12" t="s">
        <v>141</v>
      </c>
      <c r="L10" s="172" t="s">
        <v>320</v>
      </c>
      <c r="M10" s="174">
        <v>1</v>
      </c>
      <c r="N10" s="126" t="s">
        <v>128</v>
      </c>
      <c r="O10" s="75" t="s">
        <v>130</v>
      </c>
    </row>
    <row r="11" spans="1:17" ht="16.5" x14ac:dyDescent="0.3">
      <c r="A11" s="8">
        <v>46182</v>
      </c>
      <c r="B11" s="183">
        <v>3</v>
      </c>
      <c r="C11" s="118">
        <v>1</v>
      </c>
      <c r="D11" s="118"/>
      <c r="E11" s="118"/>
      <c r="F11" s="118"/>
      <c r="G11" s="118"/>
      <c r="H11" s="118">
        <v>1</v>
      </c>
      <c r="I11" s="190">
        <v>25</v>
      </c>
      <c r="J11" s="117" t="s">
        <v>401</v>
      </c>
      <c r="K11" s="12" t="s">
        <v>400</v>
      </c>
      <c r="L11" s="172" t="s">
        <v>444</v>
      </c>
      <c r="M11" s="174">
        <v>6</v>
      </c>
      <c r="N11" s="125" t="s">
        <v>125</v>
      </c>
      <c r="O11" s="32" t="s">
        <v>63</v>
      </c>
    </row>
    <row r="12" spans="1:17" ht="16.5" x14ac:dyDescent="0.3">
      <c r="A12" s="8">
        <v>46183</v>
      </c>
      <c r="B12" s="183">
        <v>1.5</v>
      </c>
      <c r="C12" s="118"/>
      <c r="D12" s="118"/>
      <c r="E12" s="118"/>
      <c r="F12" s="118"/>
      <c r="G12" s="118">
        <v>0.5</v>
      </c>
      <c r="H12" s="118">
        <v>1</v>
      </c>
      <c r="I12" s="190"/>
      <c r="L12" s="172" t="s">
        <v>410</v>
      </c>
      <c r="M12" s="174">
        <v>1.5</v>
      </c>
      <c r="N12" s="193" t="s">
        <v>131</v>
      </c>
      <c r="O12" s="193" t="s">
        <v>59</v>
      </c>
    </row>
    <row r="13" spans="1:17" ht="33" x14ac:dyDescent="0.3">
      <c r="A13" s="8">
        <v>46184</v>
      </c>
      <c r="B13" s="183">
        <v>3</v>
      </c>
      <c r="C13" s="118">
        <v>0.25</v>
      </c>
      <c r="D13" s="118">
        <v>0.25</v>
      </c>
      <c r="E13" s="118">
        <v>0.25</v>
      </c>
      <c r="F13" s="118"/>
      <c r="G13" s="118">
        <v>3</v>
      </c>
      <c r="H13" s="118"/>
      <c r="I13" s="190">
        <v>30</v>
      </c>
      <c r="J13" s="117" t="s">
        <v>403</v>
      </c>
      <c r="K13" s="12" t="s">
        <v>411</v>
      </c>
      <c r="L13" s="172" t="s">
        <v>426</v>
      </c>
      <c r="M13" s="174">
        <v>3.25</v>
      </c>
      <c r="N13" s="125" t="s">
        <v>135</v>
      </c>
      <c r="O13" s="40" t="s">
        <v>134</v>
      </c>
      <c r="P13" s="193">
        <v>1.25</v>
      </c>
    </row>
    <row r="14" spans="1:17" ht="34.5" customHeight="1" x14ac:dyDescent="0.3">
      <c r="A14" s="8">
        <v>46185</v>
      </c>
      <c r="B14" s="183">
        <v>0.25</v>
      </c>
      <c r="C14" s="118"/>
      <c r="D14" s="118">
        <v>2.75</v>
      </c>
      <c r="E14" s="118">
        <v>0.5</v>
      </c>
      <c r="F14" s="118"/>
      <c r="G14" s="118">
        <v>0.5</v>
      </c>
      <c r="H14" s="118"/>
      <c r="I14" s="188"/>
      <c r="K14" s="12" t="s">
        <v>404</v>
      </c>
      <c r="L14" s="172" t="s">
        <v>443</v>
      </c>
      <c r="M14" s="177">
        <v>9</v>
      </c>
      <c r="N14" s="36" t="s">
        <v>132</v>
      </c>
      <c r="O14" s="36" t="s">
        <v>133</v>
      </c>
    </row>
    <row r="15" spans="1:17" ht="16.5" x14ac:dyDescent="0.3">
      <c r="A15" s="8">
        <v>46186</v>
      </c>
      <c r="B15" s="183">
        <v>1.25</v>
      </c>
      <c r="C15" s="118">
        <v>5.5</v>
      </c>
      <c r="D15" s="118"/>
      <c r="E15" s="118">
        <v>3.5</v>
      </c>
      <c r="F15" s="118">
        <v>1</v>
      </c>
      <c r="G15" s="118">
        <v>1.75</v>
      </c>
      <c r="H15" s="118"/>
      <c r="I15" s="190">
        <v>15</v>
      </c>
      <c r="J15" s="117" t="s">
        <v>405</v>
      </c>
      <c r="K15" s="12" t="s">
        <v>409</v>
      </c>
      <c r="L15" s="172" t="s">
        <v>421</v>
      </c>
      <c r="M15" s="178">
        <v>10</v>
      </c>
      <c r="N15" s="127" t="s">
        <v>54</v>
      </c>
      <c r="O15" s="33" t="s">
        <v>3</v>
      </c>
    </row>
    <row r="16" spans="1:17" ht="16.5" x14ac:dyDescent="0.3">
      <c r="A16" s="8">
        <v>46187</v>
      </c>
      <c r="B16" s="183">
        <v>4.75</v>
      </c>
      <c r="C16" s="118">
        <v>0.75</v>
      </c>
      <c r="D16" s="118">
        <v>0.75</v>
      </c>
      <c r="E16" s="118">
        <v>0.25</v>
      </c>
      <c r="F16" s="118">
        <v>1.25</v>
      </c>
      <c r="G16" s="118">
        <v>2</v>
      </c>
      <c r="H16" s="118">
        <v>1</v>
      </c>
      <c r="I16" s="190">
        <v>29</v>
      </c>
      <c r="J16" s="88" t="s">
        <v>408</v>
      </c>
      <c r="K16" s="12" t="s">
        <v>406</v>
      </c>
      <c r="L16" s="172" t="s">
        <v>424</v>
      </c>
      <c r="M16" s="174">
        <v>2.25</v>
      </c>
      <c r="N16" s="127" t="s">
        <v>136</v>
      </c>
      <c r="O16" s="33" t="s">
        <v>55</v>
      </c>
    </row>
    <row r="17" spans="1:16" ht="16.5" x14ac:dyDescent="0.3">
      <c r="A17" s="8">
        <v>46188</v>
      </c>
      <c r="B17" s="183">
        <v>3</v>
      </c>
      <c r="C17" s="118">
        <v>0.25</v>
      </c>
      <c r="D17" s="118">
        <v>1</v>
      </c>
      <c r="E17" s="118">
        <v>0.75</v>
      </c>
      <c r="F17" s="118">
        <v>0.75</v>
      </c>
      <c r="G17" s="118">
        <v>1.5</v>
      </c>
      <c r="H17" s="118">
        <v>3</v>
      </c>
      <c r="I17" s="190">
        <v>38</v>
      </c>
      <c r="J17" s="88" t="s">
        <v>413</v>
      </c>
      <c r="K17" s="12" t="s">
        <v>412</v>
      </c>
      <c r="L17" s="172" t="s">
        <v>450</v>
      </c>
      <c r="M17" s="174">
        <v>8</v>
      </c>
      <c r="N17" s="127" t="s">
        <v>137</v>
      </c>
      <c r="O17" s="33" t="s">
        <v>40</v>
      </c>
      <c r="P17" s="193">
        <v>4</v>
      </c>
    </row>
    <row r="18" spans="1:16" ht="33" x14ac:dyDescent="0.3">
      <c r="A18" s="8">
        <v>46189</v>
      </c>
      <c r="B18" s="183"/>
      <c r="C18" s="118"/>
      <c r="D18" s="118"/>
      <c r="E18" s="118"/>
      <c r="F18" s="118"/>
      <c r="G18" s="118">
        <v>5</v>
      </c>
      <c r="H18" s="118"/>
      <c r="I18" s="190"/>
      <c r="K18" s="12" t="s">
        <v>422</v>
      </c>
      <c r="L18" s="172" t="s">
        <v>432</v>
      </c>
      <c r="M18" s="174">
        <v>15.5</v>
      </c>
      <c r="N18" s="193" t="s">
        <v>71</v>
      </c>
    </row>
    <row r="19" spans="1:16" ht="16.5" x14ac:dyDescent="0.3">
      <c r="A19" s="8">
        <v>46190</v>
      </c>
      <c r="B19" s="183"/>
      <c r="C19" s="118"/>
      <c r="D19" s="118"/>
      <c r="E19" s="118"/>
      <c r="F19" s="118"/>
      <c r="G19" s="118">
        <v>5</v>
      </c>
      <c r="H19" s="118"/>
      <c r="I19" s="190"/>
      <c r="K19" s="12" t="s">
        <v>422</v>
      </c>
      <c r="L19" s="172" t="s">
        <v>427</v>
      </c>
      <c r="M19" s="175">
        <v>1</v>
      </c>
      <c r="N19" s="128"/>
      <c r="P19" s="191"/>
    </row>
    <row r="20" spans="1:16" ht="16.5" x14ac:dyDescent="0.3">
      <c r="A20" s="8">
        <v>46191</v>
      </c>
      <c r="B20" s="183"/>
      <c r="C20" s="118"/>
      <c r="D20" s="118"/>
      <c r="E20" s="118"/>
      <c r="F20" s="118"/>
      <c r="G20" s="118">
        <v>4</v>
      </c>
      <c r="H20" s="118"/>
      <c r="I20" s="190"/>
      <c r="K20" s="12" t="s">
        <v>436</v>
      </c>
      <c r="L20" s="172" t="s">
        <v>392</v>
      </c>
      <c r="M20" s="179">
        <v>7</v>
      </c>
      <c r="N20" s="129" t="s">
        <v>45</v>
      </c>
      <c r="O20" s="72">
        <v>10</v>
      </c>
      <c r="P20" s="191"/>
    </row>
    <row r="21" spans="1:16" ht="16.5" x14ac:dyDescent="0.3">
      <c r="A21" s="8">
        <v>46192</v>
      </c>
      <c r="B21" s="183">
        <v>0.75</v>
      </c>
      <c r="C21" s="118">
        <v>0.5</v>
      </c>
      <c r="D21" s="118">
        <v>0.25</v>
      </c>
      <c r="E21" s="118"/>
      <c r="F21" s="118">
        <v>0.5</v>
      </c>
      <c r="G21" s="118">
        <v>7.75</v>
      </c>
      <c r="H21" s="118"/>
      <c r="I21" s="190"/>
      <c r="K21" s="12" t="s">
        <v>425</v>
      </c>
      <c r="L21" s="172" t="s">
        <v>407</v>
      </c>
      <c r="M21" s="178">
        <v>2.25</v>
      </c>
      <c r="N21" s="129" t="s">
        <v>46</v>
      </c>
      <c r="O21" s="72">
        <v>20</v>
      </c>
      <c r="P21" s="86"/>
    </row>
    <row r="22" spans="1:16" ht="16.5" x14ac:dyDescent="0.3">
      <c r="A22" s="8">
        <v>46193</v>
      </c>
      <c r="B22" s="183">
        <v>5.25</v>
      </c>
      <c r="C22" s="118"/>
      <c r="D22" s="118"/>
      <c r="E22" s="118">
        <v>2.5</v>
      </c>
      <c r="F22" s="118">
        <v>1</v>
      </c>
      <c r="G22" s="118">
        <v>2.5</v>
      </c>
      <c r="H22" s="118"/>
      <c r="I22" s="190">
        <v>57</v>
      </c>
      <c r="J22" s="88" t="s">
        <v>435</v>
      </c>
      <c r="K22" s="12" t="s">
        <v>423</v>
      </c>
      <c r="L22" s="172" t="s">
        <v>397</v>
      </c>
      <c r="M22" s="180">
        <v>3</v>
      </c>
      <c r="N22" s="129" t="s">
        <v>58</v>
      </c>
      <c r="O22" s="72">
        <v>30</v>
      </c>
      <c r="P22" s="86"/>
    </row>
    <row r="23" spans="1:16" ht="16.5" x14ac:dyDescent="0.3">
      <c r="A23" s="8">
        <v>46194</v>
      </c>
      <c r="B23" s="183"/>
      <c r="C23" s="118">
        <v>1</v>
      </c>
      <c r="D23" s="118">
        <v>0.5</v>
      </c>
      <c r="E23" s="118">
        <v>2.5</v>
      </c>
      <c r="F23" s="118">
        <v>0.75</v>
      </c>
      <c r="G23" s="118">
        <v>7</v>
      </c>
      <c r="H23" s="118"/>
      <c r="I23" s="190"/>
      <c r="K23" s="12" t="s">
        <v>433</v>
      </c>
      <c r="L23" s="172" t="s">
        <v>109</v>
      </c>
      <c r="M23" s="181">
        <v>1.5</v>
      </c>
      <c r="N23" s="73" t="s">
        <v>47</v>
      </c>
      <c r="O23" s="73">
        <v>20</v>
      </c>
      <c r="P23" s="86"/>
    </row>
    <row r="24" spans="1:16" ht="16.5" x14ac:dyDescent="0.3">
      <c r="A24" s="8">
        <v>46195</v>
      </c>
      <c r="B24" s="183"/>
      <c r="C24" s="118"/>
      <c r="D24" s="118"/>
      <c r="E24" s="118"/>
      <c r="F24" s="118">
        <v>0.5</v>
      </c>
      <c r="G24" s="118">
        <v>3.5</v>
      </c>
      <c r="H24" s="118"/>
      <c r="I24" s="117"/>
      <c r="J24" s="117"/>
      <c r="K24" s="5" t="s">
        <v>428</v>
      </c>
      <c r="L24" s="172" t="s">
        <v>402</v>
      </c>
      <c r="M24" s="177">
        <v>2.5</v>
      </c>
      <c r="N24" s="73" t="s">
        <v>48</v>
      </c>
      <c r="O24" s="73">
        <v>10</v>
      </c>
    </row>
    <row r="25" spans="1:16" ht="16.5" x14ac:dyDescent="0.3">
      <c r="A25" s="8">
        <v>46196</v>
      </c>
      <c r="B25" s="183">
        <v>1.25</v>
      </c>
      <c r="C25" s="118"/>
      <c r="D25" s="118"/>
      <c r="E25" s="118">
        <v>0.5</v>
      </c>
      <c r="F25" s="118">
        <v>0.75</v>
      </c>
      <c r="G25" s="118">
        <v>1</v>
      </c>
      <c r="H25" s="118"/>
      <c r="I25" s="117">
        <v>28</v>
      </c>
      <c r="J25" s="88" t="s">
        <v>430</v>
      </c>
      <c r="K25" s="195" t="s">
        <v>429</v>
      </c>
      <c r="L25" s="172"/>
      <c r="M25" s="181">
        <v>15</v>
      </c>
      <c r="N25" s="73" t="s">
        <v>22</v>
      </c>
      <c r="O25" s="73">
        <v>15</v>
      </c>
    </row>
    <row r="26" spans="1:16" ht="16.5" x14ac:dyDescent="0.3">
      <c r="A26" s="8">
        <v>46197</v>
      </c>
      <c r="B26" s="183">
        <v>0</v>
      </c>
      <c r="C26" s="118"/>
      <c r="D26" s="118"/>
      <c r="E26" s="118"/>
      <c r="F26" s="118"/>
      <c r="G26" s="118">
        <v>4</v>
      </c>
      <c r="H26" s="118"/>
      <c r="I26" s="117"/>
      <c r="J26" s="117"/>
      <c r="K26" s="195" t="s">
        <v>437</v>
      </c>
      <c r="L26" s="172" t="s">
        <v>150</v>
      </c>
      <c r="M26" s="10"/>
      <c r="N26" s="74"/>
      <c r="O26" s="74"/>
    </row>
    <row r="27" spans="1:16" ht="16.5" x14ac:dyDescent="0.3">
      <c r="A27" s="8">
        <v>46198</v>
      </c>
      <c r="B27" s="183">
        <v>1.5</v>
      </c>
      <c r="C27" s="118">
        <v>0.75</v>
      </c>
      <c r="D27" s="118"/>
      <c r="E27" s="118"/>
      <c r="F27" s="118"/>
      <c r="G27" s="118">
        <v>1</v>
      </c>
      <c r="H27" s="118"/>
      <c r="I27" s="190">
        <v>20</v>
      </c>
      <c r="J27" s="88" t="s">
        <v>439</v>
      </c>
      <c r="K27" s="195" t="s">
        <v>440</v>
      </c>
      <c r="L27" s="20"/>
      <c r="M27" s="10"/>
      <c r="N27" s="74" t="s">
        <v>59</v>
      </c>
      <c r="O27" s="74">
        <v>15</v>
      </c>
    </row>
    <row r="28" spans="1:16" ht="16.5" x14ac:dyDescent="0.3">
      <c r="A28" s="8">
        <v>46199</v>
      </c>
      <c r="B28" s="183">
        <v>3</v>
      </c>
      <c r="C28" s="118">
        <v>0.25</v>
      </c>
      <c r="D28" s="118">
        <v>0.25</v>
      </c>
      <c r="E28" s="118"/>
      <c r="F28" s="118"/>
      <c r="G28" s="118"/>
      <c r="H28" s="118"/>
      <c r="I28" s="117"/>
      <c r="J28" s="117" t="s">
        <v>438</v>
      </c>
      <c r="K28" s="195"/>
      <c r="L28" s="9"/>
    </row>
    <row r="29" spans="1:16" ht="16.5" x14ac:dyDescent="0.3">
      <c r="A29" s="8">
        <v>46200</v>
      </c>
      <c r="B29" s="183"/>
      <c r="C29" s="118">
        <v>0.5</v>
      </c>
      <c r="D29" s="118"/>
      <c r="E29" s="118">
        <v>1</v>
      </c>
      <c r="F29" s="118">
        <v>0.5</v>
      </c>
      <c r="G29" s="118">
        <v>0.5</v>
      </c>
      <c r="H29" s="118"/>
      <c r="I29" s="117"/>
      <c r="J29" s="117"/>
      <c r="K29" s="12" t="s">
        <v>441</v>
      </c>
      <c r="L29" s="17"/>
    </row>
    <row r="30" spans="1:16" ht="16.5" x14ac:dyDescent="0.3">
      <c r="A30" s="8">
        <v>46201</v>
      </c>
      <c r="B30" s="183"/>
      <c r="C30" s="118">
        <v>3.75</v>
      </c>
      <c r="D30" s="118">
        <v>1</v>
      </c>
      <c r="E30" s="118"/>
      <c r="F30" s="118">
        <v>0.25</v>
      </c>
      <c r="G30" s="118">
        <v>6</v>
      </c>
      <c r="H30" s="118">
        <v>1.5</v>
      </c>
      <c r="I30" s="117"/>
      <c r="J30" s="117"/>
      <c r="K30" s="195" t="s">
        <v>447</v>
      </c>
      <c r="L30" s="195"/>
      <c r="M30" s="195"/>
      <c r="N30" s="195"/>
      <c r="O30" s="195"/>
    </row>
    <row r="31" spans="1:16" ht="16.5" x14ac:dyDescent="0.3">
      <c r="A31" s="8">
        <v>46202</v>
      </c>
      <c r="B31" s="183"/>
      <c r="C31" s="118"/>
      <c r="D31" s="118"/>
      <c r="E31" s="118"/>
      <c r="F31" s="118"/>
      <c r="G31" s="118">
        <v>6</v>
      </c>
      <c r="H31" s="118"/>
      <c r="I31" s="117"/>
      <c r="J31" s="117"/>
      <c r="K31" s="5" t="s">
        <v>449</v>
      </c>
      <c r="L31" s="195"/>
      <c r="M31" s="195"/>
      <c r="N31" s="195"/>
      <c r="O31" s="195"/>
    </row>
    <row r="32" spans="1:16" ht="16.5" x14ac:dyDescent="0.3">
      <c r="A32" s="8">
        <v>46203</v>
      </c>
      <c r="B32" s="184"/>
      <c r="C32" s="118"/>
      <c r="D32" s="118"/>
      <c r="E32" s="118"/>
      <c r="F32" s="118"/>
      <c r="G32" s="118">
        <v>4.5</v>
      </c>
      <c r="H32" s="118"/>
      <c r="I32" s="117"/>
      <c r="J32" s="117"/>
      <c r="K32" s="5" t="s">
        <v>455</v>
      </c>
      <c r="L32" s="195"/>
      <c r="M32" s="195"/>
      <c r="N32" s="195"/>
      <c r="O32" s="195"/>
    </row>
    <row r="33" spans="1:15" ht="16.5" x14ac:dyDescent="0.3">
      <c r="A33" s="8"/>
      <c r="B33" s="192"/>
      <c r="C33" s="195"/>
      <c r="D33" s="195"/>
      <c r="E33" s="195"/>
      <c r="F33" s="195">
        <v>15</v>
      </c>
      <c r="G33" s="195"/>
      <c r="H33" s="195"/>
      <c r="I33" s="117"/>
      <c r="J33" s="117"/>
      <c r="L33" s="195"/>
      <c r="M33" s="195"/>
      <c r="N33" s="195"/>
      <c r="O33" s="195"/>
    </row>
    <row r="34" spans="1:15" ht="16.5" x14ac:dyDescent="0.3">
      <c r="A34" s="195" t="s">
        <v>17</v>
      </c>
      <c r="B34" s="195">
        <v>3</v>
      </c>
      <c r="C34" s="195"/>
      <c r="D34" s="195"/>
      <c r="E34" s="195" t="s">
        <v>383</v>
      </c>
      <c r="F34" s="195"/>
      <c r="G34" s="195"/>
      <c r="H34" s="195"/>
      <c r="I34" s="194"/>
      <c r="J34" s="117"/>
      <c r="K34" s="195"/>
      <c r="L34" s="195"/>
      <c r="M34" s="195"/>
      <c r="N34" s="195"/>
      <c r="O34" s="195"/>
    </row>
    <row r="35" spans="1:15" ht="16.5" x14ac:dyDescent="0.3">
      <c r="A35" s="195"/>
      <c r="B35" s="195"/>
      <c r="C35" s="195"/>
      <c r="D35" s="195"/>
      <c r="E35" s="195"/>
      <c r="F35" s="195"/>
      <c r="G35" s="195"/>
      <c r="H35" s="195"/>
      <c r="I35" s="194"/>
      <c r="J35" s="117"/>
      <c r="K35" s="195"/>
      <c r="L35" s="195"/>
    </row>
    <row r="36" spans="1:15" ht="16.5" x14ac:dyDescent="0.3">
      <c r="A36" s="195"/>
      <c r="B36" s="195"/>
      <c r="C36" s="195"/>
      <c r="D36" s="195"/>
      <c r="E36" s="195"/>
      <c r="F36" s="195"/>
      <c r="G36" s="195"/>
      <c r="H36" s="195"/>
      <c r="I36" s="194"/>
      <c r="J36" s="117"/>
      <c r="K36" s="195"/>
      <c r="L36" s="195"/>
    </row>
    <row r="37" spans="1:15" ht="16.5" x14ac:dyDescent="0.3">
      <c r="L37" s="195"/>
    </row>
    <row r="38" spans="1:15" ht="16.5" x14ac:dyDescent="0.3">
      <c r="L38" s="195"/>
    </row>
    <row r="53" spans="4:8" x14ac:dyDescent="0.25">
      <c r="D53" s="193" t="s">
        <v>20</v>
      </c>
      <c r="H53" s="193">
        <v>1</v>
      </c>
    </row>
    <row r="55" spans="4:8" x14ac:dyDescent="0.25">
      <c r="H55" s="193">
        <v>1</v>
      </c>
    </row>
    <row r="56" spans="4:8" x14ac:dyDescent="0.25">
      <c r="H56" s="193">
        <v>2</v>
      </c>
    </row>
    <row r="57" spans="4:8" x14ac:dyDescent="0.25">
      <c r="E57" s="13"/>
    </row>
    <row r="58" spans="4:8" x14ac:dyDescent="0.25">
      <c r="E58" s="13"/>
    </row>
    <row r="60" spans="4:8" x14ac:dyDescent="0.25">
      <c r="E60" s="13"/>
    </row>
  </sheetData>
  <mergeCells count="1">
    <mergeCell ref="P1:Q2"/>
  </mergeCells>
  <conditionalFormatting sqref="J1">
    <cfRule type="cellIs" priority="9" operator="lessThanOrEqual">
      <formula>$C$36</formula>
    </cfRule>
  </conditionalFormatting>
  <conditionalFormatting sqref="B3:B32">
    <cfRule type="cellIs" dxfId="34" priority="7" operator="lessThan">
      <formula>$B$34</formula>
    </cfRule>
    <cfRule type="cellIs" dxfId="33" priority="8" operator="greaterThan">
      <formula>$B$34</formula>
    </cfRule>
  </conditionalFormatting>
  <conditionalFormatting sqref="A3:A33">
    <cfRule type="expression" dxfId="32" priority="6">
      <formula>WEEKDAY(A3,2)&gt;5</formula>
    </cfRule>
  </conditionalFormatting>
  <conditionalFormatting sqref="I4:J6 I3 J13:J26 I30:J32 J28:J29 J7:J11">
    <cfRule type="colorScale" priority="5">
      <colorScale>
        <cfvo type="num" val="15"/>
        <cfvo type="num" val="30"/>
        <color rgb="FFFF7128"/>
        <color rgb="FFFFEF9C"/>
      </colorScale>
    </cfRule>
  </conditionalFormatting>
  <conditionalFormatting sqref="I7:I29">
    <cfRule type="colorScale" priority="4">
      <colorScale>
        <cfvo type="num" val="15"/>
        <cfvo type="num" val="30"/>
        <color rgb="FFFF7128"/>
        <color rgb="FFFFEF9C"/>
      </colorScale>
    </cfRule>
  </conditionalFormatting>
  <conditionalFormatting sqref="B33">
    <cfRule type="cellIs" dxfId="31" priority="2" operator="lessThan">
      <formula>$B$34</formula>
    </cfRule>
    <cfRule type="cellIs" dxfId="30" priority="3" operator="greaterThan">
      <formula>$B$34</formula>
    </cfRule>
  </conditionalFormatting>
  <conditionalFormatting sqref="I33">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zoomScaleNormal="100" workbookViewId="0">
      <pane ySplit="1" topLeftCell="A2" activePane="bottomLeft" state="frozen"/>
      <selection pane="bottomLeft" activeCell="C33" sqref="C33"/>
    </sheetView>
  </sheetViews>
  <sheetFormatPr defaultRowHeight="15" x14ac:dyDescent="0.25"/>
  <cols>
    <col min="1" max="1" width="10.85546875" style="160" customWidth="1"/>
    <col min="2" max="2" width="8.42578125" style="160" customWidth="1"/>
    <col min="3" max="3" width="9.5703125" style="160" customWidth="1"/>
    <col min="4" max="4" width="8.42578125" style="160" customWidth="1"/>
    <col min="5" max="5" width="11.28515625" style="160" customWidth="1"/>
    <col min="6" max="6" width="8.28515625" style="160" customWidth="1"/>
    <col min="7" max="7" width="9.140625" style="160"/>
    <col min="8" max="8" width="6.5703125" style="160" customWidth="1"/>
    <col min="9" max="9" width="10.28515625" style="186" customWidth="1"/>
    <col min="10" max="10" width="23.7109375" style="88" customWidth="1"/>
    <col min="11" max="11" width="38.42578125" style="160" customWidth="1"/>
    <col min="12" max="12" width="61.28515625" style="160" customWidth="1"/>
    <col min="13" max="13" width="9.28515625" style="160" customWidth="1"/>
    <col min="14" max="14" width="19.85546875" style="160" bestFit="1" customWidth="1"/>
    <col min="15" max="15" width="14.28515625" style="160" customWidth="1"/>
    <col min="16" max="16384" width="9.140625" style="160"/>
  </cols>
  <sheetData>
    <row r="1" spans="1:17" ht="53.25" customHeight="1" x14ac:dyDescent="0.25">
      <c r="A1" s="198" t="s">
        <v>12</v>
      </c>
      <c r="B1" s="198" t="s">
        <v>0</v>
      </c>
      <c r="C1" s="198" t="s">
        <v>42</v>
      </c>
      <c r="D1" s="198" t="s">
        <v>43</v>
      </c>
      <c r="E1" s="198" t="s">
        <v>41</v>
      </c>
      <c r="F1" s="198" t="s">
        <v>50</v>
      </c>
      <c r="G1" s="198" t="s">
        <v>1</v>
      </c>
      <c r="H1" s="198" t="s">
        <v>56</v>
      </c>
      <c r="I1" s="198" t="s">
        <v>74</v>
      </c>
      <c r="J1" s="198" t="s">
        <v>152</v>
      </c>
      <c r="K1" s="198" t="s">
        <v>384</v>
      </c>
      <c r="L1" s="105" t="s">
        <v>2</v>
      </c>
      <c r="M1" s="6"/>
      <c r="N1" s="198" t="s">
        <v>14</v>
      </c>
      <c r="O1" s="198">
        <f>SUM(B3:B33)</f>
        <v>49.25</v>
      </c>
      <c r="P1" s="265" t="s">
        <v>457</v>
      </c>
      <c r="Q1" s="265"/>
    </row>
    <row r="2" spans="1:17" ht="16.5" x14ac:dyDescent="0.3">
      <c r="B2" s="117">
        <f>SUM(B3:B33)</f>
        <v>49.25</v>
      </c>
      <c r="C2" s="117">
        <f t="shared" ref="C2" si="0">SUM(C3:C33)</f>
        <v>21</v>
      </c>
      <c r="D2" s="117">
        <f>SUM(D3:D33)</f>
        <v>17.5</v>
      </c>
      <c r="E2" s="117">
        <f t="shared" ref="E2:H2" si="1">SUM(E3:E33)</f>
        <v>10.25</v>
      </c>
      <c r="F2" s="117">
        <f>SUM(F3:F33)</f>
        <v>24</v>
      </c>
      <c r="G2" s="117">
        <f t="shared" si="1"/>
        <v>37.75</v>
      </c>
      <c r="H2" s="117">
        <f t="shared" si="1"/>
        <v>49</v>
      </c>
      <c r="I2" s="117">
        <f>SUM(I3:I30)/60</f>
        <v>7.0166666666666666</v>
      </c>
      <c r="J2" s="117" t="s">
        <v>452</v>
      </c>
      <c r="K2" s="106">
        <f>SUM(E2:G2)</f>
        <v>72</v>
      </c>
      <c r="L2" s="162"/>
      <c r="M2" s="160" t="s">
        <v>13</v>
      </c>
      <c r="N2" s="122" t="s">
        <v>15</v>
      </c>
      <c r="O2" s="122">
        <f>SUM(C3:E30)</f>
        <v>47.25</v>
      </c>
      <c r="P2" s="265"/>
      <c r="Q2" s="265"/>
    </row>
    <row r="3" spans="1:17" ht="16.5" x14ac:dyDescent="0.3">
      <c r="A3" s="8">
        <v>46204</v>
      </c>
      <c r="B3" s="184">
        <v>2.25</v>
      </c>
      <c r="C3" s="196">
        <v>0.25</v>
      </c>
      <c r="D3" s="196">
        <v>0.75</v>
      </c>
      <c r="E3" s="196"/>
      <c r="F3" s="196"/>
      <c r="G3" s="196">
        <v>1</v>
      </c>
      <c r="H3" s="196">
        <v>2</v>
      </c>
      <c r="I3" s="117">
        <v>42</v>
      </c>
      <c r="J3" s="117" t="s">
        <v>453</v>
      </c>
      <c r="K3" s="162" t="s">
        <v>451</v>
      </c>
      <c r="L3" s="19" t="s">
        <v>24</v>
      </c>
      <c r="M3" s="130">
        <f>SUM(M4:M28)</f>
        <v>72</v>
      </c>
      <c r="N3" s="121" t="s">
        <v>16</v>
      </c>
      <c r="O3" s="121">
        <f>SUM(F3:H32)</f>
        <v>92.25</v>
      </c>
      <c r="P3" s="160">
        <f>SUM(P4:P32)</f>
        <v>8</v>
      </c>
    </row>
    <row r="4" spans="1:17" ht="16.5" x14ac:dyDescent="0.3">
      <c r="A4" s="8">
        <v>46205</v>
      </c>
      <c r="B4" s="183">
        <v>2.5</v>
      </c>
      <c r="C4" s="196"/>
      <c r="D4" s="196"/>
      <c r="E4" s="196">
        <v>0.25</v>
      </c>
      <c r="F4" s="196"/>
      <c r="G4" s="196"/>
      <c r="H4" s="196">
        <v>3.5</v>
      </c>
      <c r="I4" s="117">
        <v>20</v>
      </c>
      <c r="J4" s="117" t="s">
        <v>456</v>
      </c>
      <c r="K4" s="162" t="s">
        <v>454</v>
      </c>
      <c r="L4" s="198" t="s">
        <v>500</v>
      </c>
      <c r="M4" s="198">
        <v>5</v>
      </c>
      <c r="P4" s="160">
        <v>2</v>
      </c>
    </row>
    <row r="5" spans="1:17" ht="33" x14ac:dyDescent="0.3">
      <c r="A5" s="8">
        <v>46206</v>
      </c>
      <c r="B5" s="183"/>
      <c r="C5" s="196"/>
      <c r="D5" s="196"/>
      <c r="E5" s="196"/>
      <c r="F5" s="196"/>
      <c r="G5" s="196"/>
      <c r="H5" s="196"/>
      <c r="I5" s="117"/>
      <c r="J5" s="117"/>
      <c r="K5" s="162"/>
      <c r="L5" s="198" t="s">
        <v>442</v>
      </c>
      <c r="M5" s="198">
        <v>2.75</v>
      </c>
      <c r="N5" s="160" t="s">
        <v>196</v>
      </c>
      <c r="P5" s="160" t="s">
        <v>383</v>
      </c>
    </row>
    <row r="6" spans="1:17" ht="16.5" x14ac:dyDescent="0.3">
      <c r="A6" s="8">
        <v>46207</v>
      </c>
      <c r="B6" s="183"/>
      <c r="C6" s="196">
        <v>1.25</v>
      </c>
      <c r="D6" s="196">
        <v>1</v>
      </c>
      <c r="E6" s="196"/>
      <c r="F6" s="196">
        <v>2.25</v>
      </c>
      <c r="G6" s="196">
        <v>2.5</v>
      </c>
      <c r="H6" s="196">
        <v>1</v>
      </c>
      <c r="I6" s="190"/>
      <c r="J6" s="117"/>
      <c r="K6" s="12" t="s">
        <v>458</v>
      </c>
      <c r="L6" s="198" t="s">
        <v>503</v>
      </c>
      <c r="M6" s="198"/>
      <c r="N6" s="16" t="s">
        <v>19</v>
      </c>
      <c r="O6" s="16" t="s">
        <v>21</v>
      </c>
    </row>
    <row r="7" spans="1:17" ht="16.5" x14ac:dyDescent="0.3">
      <c r="A7" s="8">
        <v>46208</v>
      </c>
      <c r="B7" s="183"/>
      <c r="C7" s="196"/>
      <c r="D7" s="196"/>
      <c r="E7" s="196"/>
      <c r="F7" s="196"/>
      <c r="G7" s="196"/>
      <c r="H7" s="196"/>
      <c r="I7" s="190"/>
      <c r="J7" s="117"/>
      <c r="K7" s="12"/>
      <c r="L7" s="198" t="s">
        <v>506</v>
      </c>
      <c r="M7" s="198">
        <v>1</v>
      </c>
      <c r="N7" s="124" t="s">
        <v>123</v>
      </c>
      <c r="O7" s="31" t="s">
        <v>173</v>
      </c>
    </row>
    <row r="8" spans="1:17" ht="33" x14ac:dyDescent="0.3">
      <c r="A8" s="8">
        <v>46209</v>
      </c>
      <c r="B8" s="183">
        <v>0</v>
      </c>
      <c r="C8" s="196"/>
      <c r="D8" s="196"/>
      <c r="E8" s="196"/>
      <c r="F8" s="196"/>
      <c r="G8" s="196">
        <v>9</v>
      </c>
      <c r="H8" s="196"/>
      <c r="I8" s="117"/>
      <c r="J8" s="117"/>
      <c r="K8" s="185" t="s">
        <v>462</v>
      </c>
      <c r="L8" s="198" t="s">
        <v>475</v>
      </c>
      <c r="M8" s="198">
        <v>8.75</v>
      </c>
      <c r="N8" s="125" t="s">
        <v>126</v>
      </c>
      <c r="O8" s="32" t="s">
        <v>62</v>
      </c>
    </row>
    <row r="9" spans="1:17" ht="16.5" x14ac:dyDescent="0.3">
      <c r="A9" s="8">
        <v>46210</v>
      </c>
      <c r="B9" s="183">
        <v>0</v>
      </c>
      <c r="C9" s="196"/>
      <c r="D9" s="196">
        <v>1.5</v>
      </c>
      <c r="E9" s="196">
        <v>0.5</v>
      </c>
      <c r="F9" s="196">
        <v>1</v>
      </c>
      <c r="G9" s="196">
        <v>1.5</v>
      </c>
      <c r="H9" s="196">
        <v>2.5</v>
      </c>
      <c r="I9" s="190"/>
      <c r="K9" s="12" t="s">
        <v>459</v>
      </c>
      <c r="L9" s="198" t="s">
        <v>460</v>
      </c>
      <c r="M9" s="198">
        <v>9</v>
      </c>
      <c r="N9" s="160" t="s">
        <v>127</v>
      </c>
      <c r="O9" s="160" t="s">
        <v>129</v>
      </c>
    </row>
    <row r="10" spans="1:17" ht="16.5" x14ac:dyDescent="0.3">
      <c r="A10" s="8">
        <v>46211</v>
      </c>
      <c r="B10" s="183"/>
      <c r="C10" s="196"/>
      <c r="D10" s="196"/>
      <c r="E10" s="196"/>
      <c r="F10" s="196"/>
      <c r="G10" s="196">
        <v>1</v>
      </c>
      <c r="H10" s="196"/>
      <c r="I10" s="190"/>
      <c r="J10" s="117"/>
      <c r="K10" s="12" t="s">
        <v>464</v>
      </c>
      <c r="L10" s="198" t="s">
        <v>320</v>
      </c>
      <c r="M10" s="198">
        <v>1.5</v>
      </c>
      <c r="N10" s="126" t="s">
        <v>128</v>
      </c>
      <c r="O10" s="75" t="s">
        <v>130</v>
      </c>
    </row>
    <row r="11" spans="1:17" ht="16.5" x14ac:dyDescent="0.3">
      <c r="A11" s="8">
        <v>46212</v>
      </c>
      <c r="B11" s="183">
        <v>1</v>
      </c>
      <c r="C11" s="196"/>
      <c r="D11" s="196">
        <v>2.25</v>
      </c>
      <c r="E11" s="196"/>
      <c r="F11" s="196"/>
      <c r="G11" s="196"/>
      <c r="H11" s="196"/>
      <c r="I11" s="190"/>
      <c r="J11" s="117"/>
      <c r="K11" s="12" t="s">
        <v>463</v>
      </c>
      <c r="L11" s="198" t="s">
        <v>461</v>
      </c>
      <c r="M11" s="198">
        <v>1</v>
      </c>
      <c r="N11" s="125" t="s">
        <v>125</v>
      </c>
      <c r="O11" s="32" t="s">
        <v>63</v>
      </c>
    </row>
    <row r="12" spans="1:17" ht="16.5" x14ac:dyDescent="0.3">
      <c r="A12" s="8">
        <v>46213</v>
      </c>
      <c r="B12" s="183">
        <v>5</v>
      </c>
      <c r="C12" s="196"/>
      <c r="D12" s="196">
        <v>1</v>
      </c>
      <c r="E12" s="196"/>
      <c r="F12" s="196"/>
      <c r="G12" s="196">
        <v>1</v>
      </c>
      <c r="H12" s="196"/>
      <c r="I12" s="190">
        <v>44</v>
      </c>
      <c r="J12" s="88" t="s">
        <v>472</v>
      </c>
      <c r="K12" s="12" t="s">
        <v>463</v>
      </c>
      <c r="L12" s="198" t="s">
        <v>488</v>
      </c>
      <c r="M12" s="198">
        <v>1.5</v>
      </c>
      <c r="N12" s="160" t="s">
        <v>131</v>
      </c>
      <c r="O12" s="160" t="s">
        <v>59</v>
      </c>
    </row>
    <row r="13" spans="1:17" ht="16.5" x14ac:dyDescent="0.3">
      <c r="A13" s="8">
        <v>46214</v>
      </c>
      <c r="B13" s="183">
        <v>2</v>
      </c>
      <c r="C13" s="196">
        <v>2.75</v>
      </c>
      <c r="D13" s="196">
        <v>1</v>
      </c>
      <c r="E13" s="196">
        <v>2</v>
      </c>
      <c r="F13" s="196"/>
      <c r="G13" s="196">
        <v>2</v>
      </c>
      <c r="H13" s="196">
        <v>2.5</v>
      </c>
      <c r="I13" s="190">
        <v>40</v>
      </c>
      <c r="J13" s="117" t="s">
        <v>467</v>
      </c>
      <c r="K13" s="12" t="s">
        <v>465</v>
      </c>
      <c r="L13" s="198" t="s">
        <v>466</v>
      </c>
      <c r="M13" s="198">
        <v>2.25</v>
      </c>
      <c r="N13" s="125" t="s">
        <v>135</v>
      </c>
      <c r="O13" s="40" t="s">
        <v>134</v>
      </c>
    </row>
    <row r="14" spans="1:17" ht="34.5" customHeight="1" x14ac:dyDescent="0.3">
      <c r="A14" s="8">
        <v>46215</v>
      </c>
      <c r="B14" s="183">
        <v>3.75</v>
      </c>
      <c r="C14" s="199">
        <v>4.5</v>
      </c>
      <c r="D14" s="196"/>
      <c r="E14" s="196"/>
      <c r="F14" s="196">
        <v>1.25</v>
      </c>
      <c r="G14" s="196">
        <v>0.5</v>
      </c>
      <c r="H14" s="196"/>
      <c r="I14" s="188">
        <v>20</v>
      </c>
      <c r="J14" s="88" t="s">
        <v>468</v>
      </c>
      <c r="K14" s="12" t="s">
        <v>473</v>
      </c>
      <c r="L14" s="198" t="s">
        <v>567</v>
      </c>
      <c r="M14" s="198">
        <v>8.75</v>
      </c>
      <c r="N14" s="36" t="s">
        <v>132</v>
      </c>
      <c r="O14" s="36" t="s">
        <v>133</v>
      </c>
    </row>
    <row r="15" spans="1:17" ht="16.5" x14ac:dyDescent="0.3">
      <c r="A15" s="8">
        <v>46216</v>
      </c>
      <c r="B15" s="183">
        <v>1.25</v>
      </c>
      <c r="C15" s="196"/>
      <c r="D15" s="196">
        <v>0.5</v>
      </c>
      <c r="E15" s="196"/>
      <c r="F15" s="196"/>
      <c r="G15" s="196">
        <v>1</v>
      </c>
      <c r="H15" s="196"/>
      <c r="I15" s="190"/>
      <c r="J15" s="117" t="s">
        <v>470</v>
      </c>
      <c r="K15" s="12" t="s">
        <v>469</v>
      </c>
      <c r="L15" s="198" t="s">
        <v>491</v>
      </c>
      <c r="M15" s="198">
        <v>2</v>
      </c>
      <c r="N15" s="127" t="s">
        <v>54</v>
      </c>
      <c r="O15" s="33" t="s">
        <v>3</v>
      </c>
    </row>
    <row r="16" spans="1:17" ht="16.5" x14ac:dyDescent="0.3">
      <c r="A16" s="8">
        <v>46217</v>
      </c>
      <c r="B16" s="183">
        <v>1</v>
      </c>
      <c r="C16" s="196">
        <v>0.25</v>
      </c>
      <c r="D16" s="196">
        <v>0.25</v>
      </c>
      <c r="E16" s="196"/>
      <c r="F16" s="196"/>
      <c r="G16" s="196"/>
      <c r="H16" s="196">
        <v>4</v>
      </c>
      <c r="I16" s="190"/>
      <c r="K16" s="12" t="s">
        <v>471</v>
      </c>
      <c r="L16" s="198" t="s">
        <v>486</v>
      </c>
      <c r="M16" s="198">
        <v>0.25</v>
      </c>
      <c r="N16" s="127" t="s">
        <v>136</v>
      </c>
      <c r="O16" s="33" t="s">
        <v>55</v>
      </c>
    </row>
    <row r="17" spans="1:16" ht="16.5" x14ac:dyDescent="0.3">
      <c r="A17" s="8">
        <v>46218</v>
      </c>
      <c r="B17" s="183">
        <v>0.5</v>
      </c>
      <c r="C17" s="196"/>
      <c r="D17" s="196">
        <v>0.5</v>
      </c>
      <c r="E17" s="196">
        <v>0.5</v>
      </c>
      <c r="F17" s="196">
        <v>0.5</v>
      </c>
      <c r="G17" s="196">
        <v>3</v>
      </c>
      <c r="H17" s="196">
        <v>3.5</v>
      </c>
      <c r="I17" s="190"/>
      <c r="K17" s="12" t="s">
        <v>474</v>
      </c>
      <c r="L17" s="198" t="s">
        <v>570</v>
      </c>
      <c r="M17" s="198">
        <v>4.5</v>
      </c>
      <c r="N17" s="127" t="s">
        <v>137</v>
      </c>
      <c r="O17" s="33" t="s">
        <v>40</v>
      </c>
      <c r="P17" s="160">
        <v>3.5</v>
      </c>
    </row>
    <row r="18" spans="1:16" ht="16.5" x14ac:dyDescent="0.3">
      <c r="A18" s="8">
        <v>46219</v>
      </c>
      <c r="B18" s="183">
        <v>2.5</v>
      </c>
      <c r="C18" s="196">
        <v>0.5</v>
      </c>
      <c r="D18" s="196">
        <v>0.5</v>
      </c>
      <c r="E18" s="196">
        <v>0.75</v>
      </c>
      <c r="F18" s="196"/>
      <c r="G18" s="196">
        <v>0.25</v>
      </c>
      <c r="H18" s="196">
        <v>0.5</v>
      </c>
      <c r="I18" s="190">
        <v>50</v>
      </c>
      <c r="J18" s="88" t="s">
        <v>476</v>
      </c>
      <c r="K18" s="12"/>
      <c r="L18" s="198" t="s">
        <v>487</v>
      </c>
      <c r="M18" s="198">
        <v>0.75</v>
      </c>
      <c r="N18" s="160" t="s">
        <v>71</v>
      </c>
    </row>
    <row r="19" spans="1:16" ht="16.5" x14ac:dyDescent="0.3">
      <c r="A19" s="8">
        <v>46220</v>
      </c>
      <c r="B19" s="183">
        <v>2.5</v>
      </c>
      <c r="C19" s="196">
        <v>0.25</v>
      </c>
      <c r="D19" s="196"/>
      <c r="E19" s="196"/>
      <c r="F19" s="196"/>
      <c r="G19" s="196">
        <v>2.5</v>
      </c>
      <c r="H19" s="196">
        <v>1</v>
      </c>
      <c r="I19" s="190"/>
      <c r="J19" s="88" t="s">
        <v>477</v>
      </c>
      <c r="K19" s="12" t="s">
        <v>490</v>
      </c>
      <c r="L19" s="198" t="s">
        <v>489</v>
      </c>
      <c r="M19" s="198">
        <v>1</v>
      </c>
      <c r="N19" s="128"/>
      <c r="P19" s="161"/>
    </row>
    <row r="20" spans="1:16" ht="16.5" x14ac:dyDescent="0.3">
      <c r="A20" s="8">
        <v>46221</v>
      </c>
      <c r="B20" s="183">
        <v>2</v>
      </c>
      <c r="C20" s="198">
        <v>3.25</v>
      </c>
      <c r="D20" s="196">
        <v>3</v>
      </c>
      <c r="E20" s="196"/>
      <c r="F20" s="196">
        <v>1</v>
      </c>
      <c r="G20" s="196">
        <v>0.5</v>
      </c>
      <c r="H20" s="196">
        <v>2</v>
      </c>
      <c r="I20" s="190">
        <v>20</v>
      </c>
      <c r="J20" s="88" t="s">
        <v>479</v>
      </c>
      <c r="K20" s="12" t="s">
        <v>478</v>
      </c>
      <c r="L20" s="198" t="s">
        <v>392</v>
      </c>
      <c r="M20" s="198"/>
      <c r="N20" s="129" t="s">
        <v>45</v>
      </c>
      <c r="O20" s="72">
        <v>10</v>
      </c>
      <c r="P20" s="161"/>
    </row>
    <row r="21" spans="1:16" ht="16.5" x14ac:dyDescent="0.3">
      <c r="A21" s="8">
        <v>46222</v>
      </c>
      <c r="B21" s="183">
        <v>5</v>
      </c>
      <c r="C21" s="196">
        <v>1</v>
      </c>
      <c r="D21" s="196">
        <v>0.25</v>
      </c>
      <c r="E21" s="196">
        <v>0.5</v>
      </c>
      <c r="F21" s="196"/>
      <c r="G21" s="196">
        <v>2.75</v>
      </c>
      <c r="H21" s="196">
        <v>2</v>
      </c>
      <c r="I21" s="190">
        <v>90</v>
      </c>
      <c r="J21" s="88" t="s">
        <v>480</v>
      </c>
      <c r="K21" s="12" t="s">
        <v>481</v>
      </c>
      <c r="L21" s="198" t="s">
        <v>407</v>
      </c>
      <c r="M21" s="198">
        <v>2</v>
      </c>
      <c r="N21" s="129" t="s">
        <v>46</v>
      </c>
      <c r="O21" s="72">
        <v>20</v>
      </c>
      <c r="P21" s="86"/>
    </row>
    <row r="22" spans="1:16" ht="16.5" x14ac:dyDescent="0.3">
      <c r="A22" s="8">
        <v>46223</v>
      </c>
      <c r="B22" s="183">
        <v>0.5</v>
      </c>
      <c r="C22" s="196"/>
      <c r="D22" s="196">
        <v>1.25</v>
      </c>
      <c r="E22" s="196"/>
      <c r="F22" s="196"/>
      <c r="G22" s="196">
        <v>1.5</v>
      </c>
      <c r="H22" s="196"/>
      <c r="I22" s="190">
        <v>20</v>
      </c>
      <c r="J22" s="88" t="s">
        <v>484</v>
      </c>
      <c r="K22" s="12" t="s">
        <v>482</v>
      </c>
      <c r="L22" s="198" t="s">
        <v>397</v>
      </c>
      <c r="M22" s="198"/>
      <c r="N22" s="129" t="s">
        <v>58</v>
      </c>
      <c r="O22" s="72">
        <v>30</v>
      </c>
      <c r="P22" s="86"/>
    </row>
    <row r="23" spans="1:16" ht="16.5" x14ac:dyDescent="0.3">
      <c r="A23" s="8">
        <v>46224</v>
      </c>
      <c r="B23" s="183">
        <v>1.75</v>
      </c>
      <c r="C23" s="196"/>
      <c r="D23" s="196">
        <v>0.25</v>
      </c>
      <c r="E23" s="196">
        <v>0.25</v>
      </c>
      <c r="F23" s="196"/>
      <c r="G23" s="196">
        <v>0.75</v>
      </c>
      <c r="H23" s="196"/>
      <c r="I23" s="190">
        <v>20</v>
      </c>
      <c r="J23" s="88" t="s">
        <v>485</v>
      </c>
      <c r="K23" s="12" t="s">
        <v>483</v>
      </c>
      <c r="L23" s="198" t="s">
        <v>496</v>
      </c>
      <c r="M23" s="198">
        <v>4</v>
      </c>
      <c r="N23" s="197" t="s">
        <v>47</v>
      </c>
      <c r="O23" s="73">
        <v>20</v>
      </c>
      <c r="P23" s="86"/>
    </row>
    <row r="24" spans="1:16" ht="16.5" x14ac:dyDescent="0.3">
      <c r="A24" s="8">
        <v>46225</v>
      </c>
      <c r="B24" s="183">
        <v>2.5</v>
      </c>
      <c r="C24" s="196">
        <v>0.25</v>
      </c>
      <c r="D24" s="196"/>
      <c r="E24" s="196">
        <v>1.5</v>
      </c>
      <c r="F24" s="196">
        <v>0.25</v>
      </c>
      <c r="G24" s="196"/>
      <c r="H24" s="196"/>
      <c r="I24" s="117">
        <v>17</v>
      </c>
      <c r="J24" s="117" t="s">
        <v>492</v>
      </c>
      <c r="K24" s="5" t="s">
        <v>493</v>
      </c>
      <c r="L24" s="198" t="s">
        <v>402</v>
      </c>
      <c r="M24" s="198"/>
      <c r="N24" s="197" t="s">
        <v>48</v>
      </c>
      <c r="O24" s="73">
        <v>10</v>
      </c>
    </row>
    <row r="25" spans="1:16" ht="16.5" x14ac:dyDescent="0.3">
      <c r="A25" s="8">
        <v>46226</v>
      </c>
      <c r="B25" s="183">
        <v>1</v>
      </c>
      <c r="C25" s="196">
        <v>0.25</v>
      </c>
      <c r="D25" s="196">
        <v>0.5</v>
      </c>
      <c r="E25" s="196"/>
      <c r="F25" s="196"/>
      <c r="G25" s="196"/>
      <c r="H25" s="196">
        <v>4</v>
      </c>
      <c r="I25" s="117">
        <v>15</v>
      </c>
      <c r="J25" s="88" t="s">
        <v>497</v>
      </c>
      <c r="K25" s="162" t="s">
        <v>495</v>
      </c>
      <c r="L25" s="198" t="s">
        <v>568</v>
      </c>
      <c r="M25" s="198">
        <v>1</v>
      </c>
      <c r="N25" s="197" t="s">
        <v>22</v>
      </c>
      <c r="O25" s="73">
        <v>15</v>
      </c>
      <c r="P25" s="160">
        <v>1.5</v>
      </c>
    </row>
    <row r="26" spans="1:16" ht="16.5" x14ac:dyDescent="0.3">
      <c r="A26" s="8">
        <v>46227</v>
      </c>
      <c r="B26" s="183">
        <v>2.5</v>
      </c>
      <c r="C26" s="196">
        <v>1</v>
      </c>
      <c r="D26" s="196"/>
      <c r="E26" s="196"/>
      <c r="F26" s="196"/>
      <c r="G26" s="196">
        <v>0.5</v>
      </c>
      <c r="H26" s="196">
        <v>2</v>
      </c>
      <c r="I26" s="117">
        <v>23</v>
      </c>
      <c r="J26" s="117" t="s">
        <v>498</v>
      </c>
      <c r="K26" s="162" t="s">
        <v>494</v>
      </c>
      <c r="L26" s="198" t="s">
        <v>150</v>
      </c>
      <c r="M26" s="198">
        <v>15</v>
      </c>
      <c r="N26" s="74"/>
      <c r="O26" s="74"/>
      <c r="P26" s="160">
        <v>1</v>
      </c>
    </row>
    <row r="27" spans="1:16" ht="16.5" x14ac:dyDescent="0.3">
      <c r="A27" s="8">
        <v>46228</v>
      </c>
      <c r="B27" s="183">
        <v>3.5</v>
      </c>
      <c r="C27" s="196">
        <v>0.75</v>
      </c>
      <c r="D27" s="196">
        <v>0.5</v>
      </c>
      <c r="E27" s="196">
        <v>3.5</v>
      </c>
      <c r="F27" s="196">
        <v>1</v>
      </c>
      <c r="G27" s="196"/>
      <c r="H27" s="196">
        <v>2</v>
      </c>
      <c r="I27" s="190"/>
      <c r="J27" s="88" t="s">
        <v>501</v>
      </c>
      <c r="K27" s="162" t="s">
        <v>499</v>
      </c>
      <c r="L27" s="20"/>
      <c r="M27" s="10"/>
      <c r="N27" s="74" t="s">
        <v>59</v>
      </c>
      <c r="O27" s="74">
        <v>15</v>
      </c>
    </row>
    <row r="28" spans="1:16" ht="16.5" x14ac:dyDescent="0.3">
      <c r="A28" s="8">
        <v>46229</v>
      </c>
      <c r="B28" s="183"/>
      <c r="C28" s="196">
        <v>3.5</v>
      </c>
      <c r="D28" s="196">
        <v>0.5</v>
      </c>
      <c r="E28" s="196"/>
      <c r="F28" s="196"/>
      <c r="G28" s="196">
        <v>1</v>
      </c>
      <c r="H28" s="196">
        <v>4</v>
      </c>
      <c r="I28" s="117"/>
      <c r="J28" s="117"/>
      <c r="K28" s="162" t="s">
        <v>504</v>
      </c>
      <c r="L28" s="9"/>
    </row>
    <row r="29" spans="1:16" ht="16.5" x14ac:dyDescent="0.3">
      <c r="A29" s="8">
        <v>46230</v>
      </c>
      <c r="B29" s="183">
        <v>2.75</v>
      </c>
      <c r="C29" s="196"/>
      <c r="D29" s="196">
        <v>1.25</v>
      </c>
      <c r="E29" s="196"/>
      <c r="F29" s="196">
        <v>0.75</v>
      </c>
      <c r="G29" s="196">
        <v>1</v>
      </c>
      <c r="H29" s="196">
        <v>4</v>
      </c>
      <c r="I29" s="117"/>
      <c r="J29" s="117" t="s">
        <v>569</v>
      </c>
      <c r="K29" s="12" t="s">
        <v>502</v>
      </c>
      <c r="L29" s="17"/>
    </row>
    <row r="30" spans="1:16" ht="16.5" x14ac:dyDescent="0.3">
      <c r="A30" s="8">
        <v>46231</v>
      </c>
      <c r="B30" s="183">
        <v>1</v>
      </c>
      <c r="C30" s="196">
        <v>0.5</v>
      </c>
      <c r="D30" s="196">
        <v>0.5</v>
      </c>
      <c r="E30" s="196"/>
      <c r="F30" s="196"/>
      <c r="G30" s="196">
        <v>0.5</v>
      </c>
      <c r="H30" s="196">
        <v>2</v>
      </c>
      <c r="I30" s="117"/>
      <c r="J30" s="117"/>
      <c r="K30" s="162" t="s">
        <v>505</v>
      </c>
      <c r="L30" s="162"/>
      <c r="M30" s="165"/>
      <c r="N30" s="165"/>
      <c r="O30" s="165"/>
    </row>
    <row r="31" spans="1:16" ht="33" x14ac:dyDescent="0.3">
      <c r="A31" s="8">
        <v>46232</v>
      </c>
      <c r="B31" s="183">
        <v>1.5</v>
      </c>
      <c r="C31" s="196"/>
      <c r="D31" s="196"/>
      <c r="E31" s="196">
        <v>0.5</v>
      </c>
      <c r="F31" s="196"/>
      <c r="G31" s="196">
        <v>1</v>
      </c>
      <c r="H31" s="196">
        <v>3</v>
      </c>
      <c r="I31" s="117">
        <v>30</v>
      </c>
      <c r="J31" s="117" t="s">
        <v>508</v>
      </c>
      <c r="K31" s="5" t="s">
        <v>507</v>
      </c>
      <c r="L31" s="162"/>
      <c r="M31" s="162"/>
      <c r="N31" s="162"/>
      <c r="O31" s="162"/>
    </row>
    <row r="32" spans="1:16" ht="16.5" x14ac:dyDescent="0.3">
      <c r="A32" s="8">
        <v>46233</v>
      </c>
      <c r="B32" s="184"/>
      <c r="C32" s="196"/>
      <c r="D32" s="196"/>
      <c r="E32" s="196"/>
      <c r="F32" s="196">
        <v>1</v>
      </c>
      <c r="G32" s="196">
        <v>3</v>
      </c>
      <c r="H32" s="196"/>
      <c r="I32" s="117"/>
      <c r="J32" s="117"/>
      <c r="K32" s="5" t="s">
        <v>509</v>
      </c>
      <c r="L32" s="165"/>
      <c r="M32" s="162"/>
      <c r="N32" s="162"/>
      <c r="O32" s="162"/>
    </row>
    <row r="33" spans="1:15" ht="16.5" x14ac:dyDescent="0.3">
      <c r="A33" s="8">
        <v>46234</v>
      </c>
      <c r="B33" s="167">
        <v>1</v>
      </c>
      <c r="C33" s="162">
        <v>0.75</v>
      </c>
      <c r="D33" s="162">
        <v>0.25</v>
      </c>
      <c r="E33" s="162"/>
      <c r="F33" s="162">
        <v>15</v>
      </c>
      <c r="G33" s="162"/>
      <c r="H33" s="162">
        <v>3.5</v>
      </c>
      <c r="I33" s="117"/>
      <c r="J33" s="117"/>
      <c r="L33" s="162"/>
      <c r="M33" s="165"/>
      <c r="N33" s="165"/>
      <c r="O33" s="165"/>
    </row>
    <row r="34" spans="1:15" ht="16.5" x14ac:dyDescent="0.3">
      <c r="A34" s="162" t="s">
        <v>17</v>
      </c>
      <c r="B34" s="162">
        <v>3</v>
      </c>
      <c r="C34" s="162"/>
      <c r="D34" s="162"/>
      <c r="E34" s="162" t="s">
        <v>383</v>
      </c>
      <c r="F34" s="162"/>
      <c r="G34" s="162"/>
      <c r="H34" s="162"/>
      <c r="I34" s="187"/>
      <c r="J34" s="117"/>
      <c r="K34" s="162"/>
      <c r="L34" s="162"/>
      <c r="M34" s="165"/>
      <c r="N34" s="165"/>
      <c r="O34" s="165"/>
    </row>
    <row r="35" spans="1:15" ht="16.5" x14ac:dyDescent="0.3">
      <c r="A35" s="162"/>
      <c r="B35" s="162"/>
      <c r="C35" s="162"/>
      <c r="D35" s="162"/>
      <c r="E35" s="162"/>
      <c r="F35" s="162"/>
      <c r="G35" s="162"/>
      <c r="H35" s="162"/>
      <c r="I35" s="187"/>
      <c r="J35" s="117"/>
      <c r="K35" s="162"/>
      <c r="L35" s="165"/>
    </row>
    <row r="36" spans="1:15" ht="16.5" x14ac:dyDescent="0.3">
      <c r="A36" s="162"/>
      <c r="B36" s="162"/>
      <c r="C36" s="162"/>
      <c r="D36" s="162"/>
      <c r="E36" s="162"/>
      <c r="F36" s="162"/>
      <c r="G36" s="162"/>
      <c r="H36" s="162"/>
      <c r="I36" s="187"/>
      <c r="J36" s="117"/>
      <c r="K36" s="162"/>
      <c r="L36" s="165"/>
    </row>
    <row r="37" spans="1:15" ht="16.5" x14ac:dyDescent="0.3">
      <c r="L37" s="162"/>
    </row>
    <row r="38" spans="1:15" ht="16.5" x14ac:dyDescent="0.3">
      <c r="L38" s="162"/>
    </row>
    <row r="53" spans="4:8" x14ac:dyDescent="0.25">
      <c r="D53" s="160" t="s">
        <v>20</v>
      </c>
      <c r="H53" s="160">
        <v>1</v>
      </c>
    </row>
    <row r="55" spans="4:8" x14ac:dyDescent="0.25">
      <c r="H55" s="160">
        <v>1</v>
      </c>
    </row>
    <row r="56" spans="4:8" x14ac:dyDescent="0.25">
      <c r="H56" s="160">
        <v>2</v>
      </c>
    </row>
    <row r="57" spans="4:8" x14ac:dyDescent="0.25">
      <c r="E57" s="13"/>
    </row>
    <row r="58" spans="4:8" x14ac:dyDescent="0.25">
      <c r="E58" s="13"/>
    </row>
    <row r="60" spans="4:8" x14ac:dyDescent="0.25">
      <c r="E60" s="13"/>
    </row>
  </sheetData>
  <mergeCells count="1">
    <mergeCell ref="P1:Q2"/>
  </mergeCells>
  <conditionalFormatting sqref="J1">
    <cfRule type="cellIs" priority="9" operator="lessThanOrEqual">
      <formula>$C$36</formula>
    </cfRule>
  </conditionalFormatting>
  <conditionalFormatting sqref="B3:B32">
    <cfRule type="cellIs" dxfId="25" priority="7" operator="lessThan">
      <formula>$B$34</formula>
    </cfRule>
    <cfRule type="cellIs" dxfId="24" priority="8" operator="greaterThan">
      <formula>$B$34</formula>
    </cfRule>
  </conditionalFormatting>
  <conditionalFormatting sqref="A3:A33">
    <cfRule type="expression" dxfId="23" priority="6">
      <formula>WEEKDAY(A3,2)&gt;5</formula>
    </cfRule>
  </conditionalFormatting>
  <conditionalFormatting sqref="I4:J6 I3 J13:J26 I30:J32 J28:J29 J7:J11">
    <cfRule type="colorScale" priority="5">
      <colorScale>
        <cfvo type="num" val="15"/>
        <cfvo type="num" val="30"/>
        <color rgb="FFFF7128"/>
        <color rgb="FFFFEF9C"/>
      </colorScale>
    </cfRule>
  </conditionalFormatting>
  <conditionalFormatting sqref="I7:I29">
    <cfRule type="colorScale" priority="4">
      <colorScale>
        <cfvo type="num" val="15"/>
        <cfvo type="num" val="30"/>
        <color rgb="FFFF7128"/>
        <color rgb="FFFFEF9C"/>
      </colorScale>
    </cfRule>
  </conditionalFormatting>
  <conditionalFormatting sqref="B33">
    <cfRule type="cellIs" dxfId="22" priority="2" operator="lessThan">
      <formula>$B$34</formula>
    </cfRule>
    <cfRule type="cellIs" dxfId="21" priority="3" operator="greaterThan">
      <formula>$B$34</formula>
    </cfRule>
  </conditionalFormatting>
  <conditionalFormatting sqref="I33">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zoomScaleNormal="100" workbookViewId="0">
      <pane ySplit="1" topLeftCell="A2" activePane="bottomLeft" state="frozen"/>
      <selection pane="bottomLeft" activeCell="K16" sqref="K16"/>
    </sheetView>
  </sheetViews>
  <sheetFormatPr defaultRowHeight="15" x14ac:dyDescent="0.25"/>
  <cols>
    <col min="1" max="1" width="10.85546875" style="202" customWidth="1"/>
    <col min="2" max="2" width="8.42578125" style="202" customWidth="1"/>
    <col min="3" max="3" width="9.5703125" style="202" customWidth="1"/>
    <col min="4" max="4" width="8.42578125" style="202" customWidth="1"/>
    <col min="5" max="5" width="11.28515625" style="202" customWidth="1"/>
    <col min="6" max="6" width="8.28515625" style="202" customWidth="1"/>
    <col min="7" max="7" width="9.140625" style="202"/>
    <col min="8" max="8" width="6.5703125" style="202" customWidth="1"/>
    <col min="9" max="9" width="10.28515625" style="209" customWidth="1"/>
    <col min="10" max="10" width="18.28515625" style="88" customWidth="1"/>
    <col min="11" max="11" width="42.7109375" style="202" customWidth="1"/>
    <col min="12" max="12" width="64.85546875" style="202" customWidth="1"/>
    <col min="13" max="13" width="9.28515625" style="202" customWidth="1"/>
    <col min="14" max="14" width="19.85546875" style="202" bestFit="1" customWidth="1"/>
    <col min="15" max="15" width="14.28515625" style="202" customWidth="1"/>
    <col min="16" max="16384" width="9.140625" style="202"/>
  </cols>
  <sheetData>
    <row r="1" spans="1:17" ht="53.25" customHeight="1" x14ac:dyDescent="0.25">
      <c r="A1" s="204" t="s">
        <v>12</v>
      </c>
      <c r="B1" s="204" t="s">
        <v>0</v>
      </c>
      <c r="C1" s="204" t="s">
        <v>42</v>
      </c>
      <c r="D1" s="204" t="s">
        <v>43</v>
      </c>
      <c r="E1" s="204" t="s">
        <v>41</v>
      </c>
      <c r="F1" s="204" t="s">
        <v>50</v>
      </c>
      <c r="G1" s="204" t="s">
        <v>1</v>
      </c>
      <c r="H1" s="204" t="s">
        <v>56</v>
      </c>
      <c r="I1" s="208" t="s">
        <v>74</v>
      </c>
      <c r="J1" s="204" t="s">
        <v>152</v>
      </c>
      <c r="K1" s="204" t="s">
        <v>511</v>
      </c>
      <c r="L1" s="204" t="s">
        <v>2</v>
      </c>
      <c r="M1" s="6"/>
      <c r="N1" s="198" t="s">
        <v>14</v>
      </c>
      <c r="O1" s="198">
        <f>SUM(B3:B33)</f>
        <v>70</v>
      </c>
      <c r="P1" s="265" t="s">
        <v>457</v>
      </c>
      <c r="Q1" s="265"/>
    </row>
    <row r="2" spans="1:17" ht="16.5" x14ac:dyDescent="0.3">
      <c r="B2" s="117">
        <f>SUM(B3:B33)</f>
        <v>70</v>
      </c>
      <c r="C2" s="117">
        <f t="shared" ref="C2" si="0">SUM(C3:C33)</f>
        <v>11.5</v>
      </c>
      <c r="D2" s="117">
        <f>SUM(D3:D33)</f>
        <v>21.25</v>
      </c>
      <c r="E2" s="117">
        <f t="shared" ref="E2:H2" si="1">SUM(E3:E33)</f>
        <v>27.25</v>
      </c>
      <c r="F2" s="117">
        <f>SUM(F3:F34)</f>
        <v>30</v>
      </c>
      <c r="G2" s="117">
        <f t="shared" si="1"/>
        <v>58.95</v>
      </c>
      <c r="H2" s="117">
        <f t="shared" si="1"/>
        <v>17</v>
      </c>
      <c r="I2" s="117">
        <f>SUM(I3:I30)/60</f>
        <v>3.2</v>
      </c>
      <c r="J2" s="117" t="s">
        <v>510</v>
      </c>
      <c r="K2" s="106">
        <f>SUM(E2:G2)</f>
        <v>116.2</v>
      </c>
      <c r="L2" s="203"/>
      <c r="M2" s="202" t="s">
        <v>13</v>
      </c>
      <c r="N2" s="122" t="s">
        <v>15</v>
      </c>
      <c r="O2" s="122">
        <f>SUM(C2:E2)</f>
        <v>60</v>
      </c>
      <c r="P2" s="210">
        <f>SUM(P3:P27)</f>
        <v>17</v>
      </c>
      <c r="Q2" s="210"/>
    </row>
    <row r="3" spans="1:17" ht="16.5" x14ac:dyDescent="0.3">
      <c r="A3" s="8">
        <v>46235</v>
      </c>
      <c r="B3" s="184">
        <v>2</v>
      </c>
      <c r="C3" s="205">
        <v>0.5</v>
      </c>
      <c r="D3" s="205">
        <v>1.75</v>
      </c>
      <c r="E3" s="205">
        <v>1</v>
      </c>
      <c r="F3" s="205">
        <v>2.75</v>
      </c>
      <c r="G3" s="205">
        <v>2</v>
      </c>
      <c r="H3" s="205">
        <v>3.5</v>
      </c>
      <c r="I3" s="188"/>
      <c r="J3" s="117" t="s">
        <v>515</v>
      </c>
      <c r="K3" s="203" t="s">
        <v>516</v>
      </c>
      <c r="L3" s="19" t="s">
        <v>24</v>
      </c>
      <c r="M3" s="130">
        <f>SUM(M4:M28)</f>
        <v>116.2</v>
      </c>
      <c r="N3" s="121" t="s">
        <v>16</v>
      </c>
      <c r="O3" s="121">
        <f>SUM(F2:H2)</f>
        <v>105.95</v>
      </c>
    </row>
    <row r="4" spans="1:17" ht="16.5" x14ac:dyDescent="0.3">
      <c r="A4" s="8">
        <v>46236</v>
      </c>
      <c r="B4" s="183">
        <v>0.25</v>
      </c>
      <c r="C4" s="205">
        <v>0.5</v>
      </c>
      <c r="D4" s="205">
        <v>0.5</v>
      </c>
      <c r="E4" s="205">
        <v>2</v>
      </c>
      <c r="F4" s="205">
        <v>0.5</v>
      </c>
      <c r="G4" s="205">
        <v>8.5</v>
      </c>
      <c r="H4" s="205">
        <v>0.5</v>
      </c>
      <c r="I4" s="188"/>
      <c r="J4" s="117"/>
      <c r="K4" s="203" t="s">
        <v>517</v>
      </c>
      <c r="L4" s="204" t="s">
        <v>545</v>
      </c>
      <c r="M4" s="204">
        <v>9.75</v>
      </c>
    </row>
    <row r="5" spans="1:17" ht="16.5" x14ac:dyDescent="0.3">
      <c r="A5" s="8">
        <v>46237</v>
      </c>
      <c r="B5" s="183">
        <v>2.5</v>
      </c>
      <c r="C5" s="205"/>
      <c r="D5" s="205">
        <v>0.75</v>
      </c>
      <c r="E5" s="205"/>
      <c r="F5" s="205"/>
      <c r="G5" s="205">
        <v>1.2</v>
      </c>
      <c r="H5" s="205"/>
      <c r="I5" s="188"/>
      <c r="J5" s="202"/>
      <c r="K5" s="203" t="s">
        <v>513</v>
      </c>
      <c r="L5" s="204" t="s">
        <v>558</v>
      </c>
      <c r="M5" s="204">
        <v>5.25</v>
      </c>
      <c r="N5" s="202" t="s">
        <v>196</v>
      </c>
    </row>
    <row r="6" spans="1:17" ht="16.5" x14ac:dyDescent="0.3">
      <c r="A6" s="8">
        <v>46238</v>
      </c>
      <c r="B6" s="183">
        <v>1.5</v>
      </c>
      <c r="C6" s="205">
        <v>0.5</v>
      </c>
      <c r="D6" s="205"/>
      <c r="E6" s="205"/>
      <c r="F6" s="205"/>
      <c r="G6" s="205">
        <v>1</v>
      </c>
      <c r="H6" s="205"/>
      <c r="I6" s="188"/>
      <c r="J6" s="117"/>
      <c r="K6" s="12"/>
      <c r="L6" s="204" t="s">
        <v>559</v>
      </c>
      <c r="M6" s="204"/>
      <c r="N6" s="16" t="s">
        <v>19</v>
      </c>
      <c r="O6" s="16" t="s">
        <v>21</v>
      </c>
    </row>
    <row r="7" spans="1:17" ht="16.5" x14ac:dyDescent="0.3">
      <c r="A7" s="8">
        <v>46239</v>
      </c>
      <c r="B7" s="183">
        <v>3</v>
      </c>
      <c r="C7" s="205"/>
      <c r="D7" s="205">
        <v>0.75</v>
      </c>
      <c r="E7" s="207">
        <v>4</v>
      </c>
      <c r="F7" s="205"/>
      <c r="G7" s="205">
        <v>2</v>
      </c>
      <c r="H7" s="205"/>
      <c r="I7" s="188"/>
      <c r="J7" s="117" t="s">
        <v>522</v>
      </c>
      <c r="K7" s="12" t="s">
        <v>518</v>
      </c>
      <c r="L7" s="204" t="s">
        <v>506</v>
      </c>
      <c r="M7" s="204"/>
      <c r="N7" s="124" t="s">
        <v>123</v>
      </c>
      <c r="O7" s="31" t="s">
        <v>173</v>
      </c>
    </row>
    <row r="8" spans="1:17" ht="16.5" x14ac:dyDescent="0.3">
      <c r="A8" s="8">
        <v>46240</v>
      </c>
      <c r="B8" s="183">
        <v>3.75</v>
      </c>
      <c r="C8" s="205">
        <v>0.25</v>
      </c>
      <c r="D8" s="205"/>
      <c r="E8" s="205">
        <v>0.5</v>
      </c>
      <c r="F8" s="205"/>
      <c r="G8" s="205"/>
      <c r="H8" s="205"/>
      <c r="I8" s="188">
        <v>15</v>
      </c>
      <c r="J8" s="117" t="s">
        <v>520</v>
      </c>
      <c r="K8" s="185" t="s">
        <v>521</v>
      </c>
      <c r="L8" s="204" t="s">
        <v>534</v>
      </c>
      <c r="M8" s="204">
        <v>5</v>
      </c>
      <c r="N8" s="125" t="s">
        <v>126</v>
      </c>
      <c r="O8" s="32" t="s">
        <v>62</v>
      </c>
    </row>
    <row r="9" spans="1:17" ht="16.5" x14ac:dyDescent="0.3">
      <c r="A9" s="8">
        <v>46241</v>
      </c>
      <c r="B9" s="183"/>
      <c r="C9" s="205"/>
      <c r="D9" s="205"/>
      <c r="E9" s="205">
        <v>3</v>
      </c>
      <c r="F9" s="205"/>
      <c r="G9" s="205"/>
      <c r="H9" s="205"/>
      <c r="I9" s="188"/>
      <c r="K9" s="12" t="s">
        <v>523</v>
      </c>
      <c r="L9" s="204" t="s">
        <v>524</v>
      </c>
      <c r="M9" s="204">
        <v>7</v>
      </c>
      <c r="N9" s="202" t="s">
        <v>127</v>
      </c>
      <c r="O9" s="202" t="s">
        <v>129</v>
      </c>
    </row>
    <row r="10" spans="1:17" ht="16.5" x14ac:dyDescent="0.3">
      <c r="A10" s="8">
        <v>46242</v>
      </c>
      <c r="B10" s="183">
        <v>2</v>
      </c>
      <c r="C10" s="205"/>
      <c r="D10" s="205">
        <v>1</v>
      </c>
      <c r="E10" s="205">
        <v>4.5</v>
      </c>
      <c r="F10" s="205">
        <v>1.5</v>
      </c>
      <c r="G10" s="205">
        <v>2</v>
      </c>
      <c r="H10" s="205">
        <v>1</v>
      </c>
      <c r="I10" s="188">
        <v>17</v>
      </c>
      <c r="J10" s="117" t="s">
        <v>526</v>
      </c>
      <c r="K10" s="12" t="s">
        <v>527</v>
      </c>
      <c r="L10" s="204" t="s">
        <v>552</v>
      </c>
      <c r="M10" s="204">
        <v>2.5</v>
      </c>
      <c r="N10" s="126" t="s">
        <v>128</v>
      </c>
      <c r="O10" s="75" t="s">
        <v>130</v>
      </c>
    </row>
    <row r="11" spans="1:17" ht="16.5" x14ac:dyDescent="0.3">
      <c r="A11" s="8">
        <v>46243</v>
      </c>
      <c r="B11" s="183">
        <v>4</v>
      </c>
      <c r="C11" s="205">
        <v>0.5</v>
      </c>
      <c r="D11" s="205">
        <v>1.25</v>
      </c>
      <c r="E11" s="205">
        <v>0.25</v>
      </c>
      <c r="F11" s="205">
        <v>3</v>
      </c>
      <c r="H11" s="205">
        <v>3</v>
      </c>
      <c r="I11" s="188">
        <v>70</v>
      </c>
      <c r="J11" s="117" t="s">
        <v>532</v>
      </c>
      <c r="K11" s="12" t="s">
        <v>525</v>
      </c>
      <c r="L11" s="204" t="s">
        <v>512</v>
      </c>
      <c r="M11" s="204">
        <v>1</v>
      </c>
      <c r="N11" s="125" t="s">
        <v>125</v>
      </c>
      <c r="O11" s="32" t="s">
        <v>63</v>
      </c>
    </row>
    <row r="12" spans="1:17" ht="16.5" x14ac:dyDescent="0.3">
      <c r="A12" s="8">
        <v>46244</v>
      </c>
      <c r="B12" s="183">
        <v>5.25</v>
      </c>
      <c r="C12" s="205">
        <v>0.75</v>
      </c>
      <c r="D12" s="205">
        <v>0.25</v>
      </c>
      <c r="E12" s="205"/>
      <c r="F12" s="205"/>
      <c r="G12" s="205"/>
      <c r="H12" s="205">
        <v>2.5</v>
      </c>
      <c r="I12" s="188">
        <v>17</v>
      </c>
      <c r="J12" s="88" t="s">
        <v>533</v>
      </c>
      <c r="K12" s="12" t="s">
        <v>531</v>
      </c>
      <c r="L12" s="204" t="s">
        <v>528</v>
      </c>
      <c r="M12" s="204">
        <v>0.5</v>
      </c>
      <c r="N12" s="202" t="s">
        <v>131</v>
      </c>
      <c r="O12" s="202" t="s">
        <v>59</v>
      </c>
      <c r="P12" s="202">
        <v>5.25</v>
      </c>
    </row>
    <row r="13" spans="1:17" ht="33" x14ac:dyDescent="0.3">
      <c r="A13" s="8">
        <v>46245</v>
      </c>
      <c r="B13" s="183">
        <v>0</v>
      </c>
      <c r="C13" s="205"/>
      <c r="D13" s="205">
        <v>1</v>
      </c>
      <c r="E13" s="205"/>
      <c r="F13" s="205"/>
      <c r="G13" s="205">
        <v>2</v>
      </c>
      <c r="H13" s="205"/>
      <c r="I13" s="188"/>
      <c r="J13" s="117"/>
      <c r="K13" s="12" t="s">
        <v>540</v>
      </c>
      <c r="L13" s="204" t="s">
        <v>554</v>
      </c>
      <c r="M13" s="204">
        <v>3.75</v>
      </c>
      <c r="N13" s="125" t="s">
        <v>135</v>
      </c>
      <c r="O13" s="40" t="s">
        <v>134</v>
      </c>
    </row>
    <row r="14" spans="1:17" ht="34.5" customHeight="1" x14ac:dyDescent="0.3">
      <c r="A14" s="8">
        <v>46246</v>
      </c>
      <c r="B14" s="183">
        <v>0</v>
      </c>
      <c r="C14" s="205"/>
      <c r="D14" s="205"/>
      <c r="E14" s="205"/>
      <c r="F14" s="205">
        <v>0.25</v>
      </c>
      <c r="G14" s="205">
        <v>5</v>
      </c>
      <c r="H14" s="205"/>
      <c r="I14" s="188"/>
      <c r="K14" s="12" t="s">
        <v>535</v>
      </c>
      <c r="L14" s="204" t="s">
        <v>563</v>
      </c>
      <c r="M14" s="204">
        <v>12.75</v>
      </c>
      <c r="N14" s="36" t="s">
        <v>132</v>
      </c>
      <c r="O14" s="36" t="s">
        <v>133</v>
      </c>
    </row>
    <row r="15" spans="1:17" ht="33" x14ac:dyDescent="0.3">
      <c r="A15" s="8">
        <v>46247</v>
      </c>
      <c r="B15" s="183">
        <v>3.5</v>
      </c>
      <c r="C15" s="205"/>
      <c r="D15" s="205">
        <v>1.25</v>
      </c>
      <c r="E15" s="205">
        <v>0.5</v>
      </c>
      <c r="F15" s="205"/>
      <c r="G15" s="205">
        <v>3.75</v>
      </c>
      <c r="H15" s="205"/>
      <c r="I15" s="188">
        <v>30</v>
      </c>
      <c r="J15" s="117" t="s">
        <v>541</v>
      </c>
      <c r="K15" s="12" t="s">
        <v>537</v>
      </c>
      <c r="L15" s="204" t="s">
        <v>560</v>
      </c>
      <c r="M15" s="204">
        <v>4.25</v>
      </c>
      <c r="N15" s="127" t="s">
        <v>54</v>
      </c>
      <c r="O15" s="33" t="s">
        <v>3</v>
      </c>
      <c r="P15" s="202">
        <v>8</v>
      </c>
    </row>
    <row r="16" spans="1:17" ht="33" x14ac:dyDescent="0.3">
      <c r="A16" s="8">
        <v>46248</v>
      </c>
      <c r="B16" s="183">
        <v>3.75</v>
      </c>
      <c r="C16" s="205"/>
      <c r="D16" s="205">
        <v>0.5</v>
      </c>
      <c r="E16" s="205"/>
      <c r="F16" s="205">
        <v>0.5</v>
      </c>
      <c r="G16" s="205">
        <v>3</v>
      </c>
      <c r="H16" s="205"/>
      <c r="I16" s="188">
        <v>40</v>
      </c>
      <c r="J16" s="88" t="s">
        <v>539</v>
      </c>
      <c r="K16" s="12" t="s">
        <v>538</v>
      </c>
      <c r="L16" s="204" t="s">
        <v>566</v>
      </c>
      <c r="M16" s="204">
        <v>18.5</v>
      </c>
      <c r="N16" s="127" t="s">
        <v>136</v>
      </c>
      <c r="O16" s="33" t="s">
        <v>55</v>
      </c>
      <c r="P16" s="202">
        <v>3.25</v>
      </c>
    </row>
    <row r="17" spans="1:16" ht="16.5" x14ac:dyDescent="0.3">
      <c r="A17" s="8">
        <v>46249</v>
      </c>
      <c r="B17" s="183"/>
      <c r="C17" s="205"/>
      <c r="D17" s="205"/>
      <c r="E17" s="205"/>
      <c r="F17" s="205"/>
      <c r="G17" s="205"/>
      <c r="H17" s="205"/>
      <c r="I17" s="188"/>
      <c r="K17" s="12"/>
      <c r="L17" s="204" t="s">
        <v>571</v>
      </c>
      <c r="M17" s="204">
        <v>4.75</v>
      </c>
      <c r="N17" s="127" t="s">
        <v>137</v>
      </c>
      <c r="O17" s="33" t="s">
        <v>40</v>
      </c>
    </row>
    <row r="18" spans="1:16" ht="16.5" x14ac:dyDescent="0.3">
      <c r="A18" s="8">
        <v>46250</v>
      </c>
      <c r="B18" s="183"/>
      <c r="C18" s="205"/>
      <c r="D18" s="205"/>
      <c r="E18" s="205"/>
      <c r="F18" s="205"/>
      <c r="G18" s="205"/>
      <c r="H18" s="205"/>
      <c r="I18" s="188"/>
      <c r="K18" s="12"/>
      <c r="L18" s="204" t="s">
        <v>514</v>
      </c>
      <c r="M18" s="204">
        <v>5</v>
      </c>
      <c r="N18" s="202" t="s">
        <v>71</v>
      </c>
    </row>
    <row r="19" spans="1:16" ht="16.5" x14ac:dyDescent="0.3">
      <c r="A19" s="8">
        <v>46251</v>
      </c>
      <c r="B19" s="183">
        <v>0</v>
      </c>
      <c r="C19" s="205"/>
      <c r="D19" s="205"/>
      <c r="E19" s="205"/>
      <c r="F19" s="205"/>
      <c r="G19" s="205">
        <v>8</v>
      </c>
      <c r="H19" s="205"/>
      <c r="I19" s="188"/>
      <c r="K19" s="12" t="s">
        <v>543</v>
      </c>
      <c r="L19" s="204" t="s">
        <v>564</v>
      </c>
      <c r="M19" s="204">
        <v>4.75</v>
      </c>
      <c r="N19" s="128"/>
      <c r="P19" s="200"/>
    </row>
    <row r="20" spans="1:16" ht="16.5" x14ac:dyDescent="0.3">
      <c r="A20" s="8">
        <v>46252</v>
      </c>
      <c r="B20" s="183"/>
      <c r="C20" s="205"/>
      <c r="D20" s="205"/>
      <c r="E20" s="205"/>
      <c r="F20" s="205"/>
      <c r="G20" s="205">
        <v>4.25</v>
      </c>
      <c r="H20" s="205"/>
      <c r="I20" s="188"/>
      <c r="K20" s="12" t="s">
        <v>544</v>
      </c>
      <c r="L20" s="204" t="s">
        <v>536</v>
      </c>
      <c r="M20" s="204">
        <v>3</v>
      </c>
      <c r="N20" s="129" t="s">
        <v>45</v>
      </c>
      <c r="O20" s="72">
        <v>10</v>
      </c>
      <c r="P20" s="200"/>
    </row>
    <row r="21" spans="1:16" ht="16.5" x14ac:dyDescent="0.3">
      <c r="A21" s="8">
        <v>46253</v>
      </c>
      <c r="B21" s="183"/>
      <c r="C21" s="205"/>
      <c r="D21" s="205">
        <v>0.5</v>
      </c>
      <c r="E21" s="205"/>
      <c r="F21" s="205">
        <v>0.75</v>
      </c>
      <c r="G21" s="205"/>
      <c r="H21" s="205"/>
      <c r="I21" s="188"/>
      <c r="K21" s="12"/>
      <c r="L21" s="204" t="s">
        <v>519</v>
      </c>
      <c r="M21" s="204">
        <v>2.7</v>
      </c>
      <c r="N21" s="129" t="s">
        <v>46</v>
      </c>
      <c r="O21" s="72">
        <v>20</v>
      </c>
      <c r="P21" s="86"/>
    </row>
    <row r="22" spans="1:16" ht="16.5" x14ac:dyDescent="0.3">
      <c r="A22" s="8">
        <v>46254</v>
      </c>
      <c r="B22" s="183">
        <v>3.5</v>
      </c>
      <c r="C22" s="205"/>
      <c r="D22" s="205"/>
      <c r="E22" s="205">
        <v>3</v>
      </c>
      <c r="F22" s="205"/>
      <c r="G22" s="205"/>
      <c r="H22" s="205"/>
      <c r="I22" s="188"/>
      <c r="K22" s="12" t="s">
        <v>542</v>
      </c>
      <c r="L22" s="204" t="s">
        <v>547</v>
      </c>
      <c r="M22" s="204">
        <v>1.25</v>
      </c>
      <c r="N22" s="129" t="s">
        <v>58</v>
      </c>
      <c r="O22" s="72">
        <v>30</v>
      </c>
      <c r="P22" s="86"/>
    </row>
    <row r="23" spans="1:16" ht="16.5" x14ac:dyDescent="0.3">
      <c r="A23" s="8">
        <v>46255</v>
      </c>
      <c r="B23" s="183">
        <v>1.75</v>
      </c>
      <c r="C23" s="205">
        <v>0.25</v>
      </c>
      <c r="D23" s="205">
        <v>0.5</v>
      </c>
      <c r="E23" s="205"/>
      <c r="F23" s="205"/>
      <c r="G23" s="205">
        <v>0.5</v>
      </c>
      <c r="H23" s="205"/>
      <c r="I23" s="188"/>
      <c r="K23" s="12"/>
      <c r="L23" s="204" t="s">
        <v>496</v>
      </c>
      <c r="M23" s="204">
        <v>0.5</v>
      </c>
      <c r="N23" s="197" t="s">
        <v>47</v>
      </c>
      <c r="O23" s="73">
        <v>20</v>
      </c>
      <c r="P23" s="86"/>
    </row>
    <row r="24" spans="1:16" ht="16.5" x14ac:dyDescent="0.3">
      <c r="A24" s="8">
        <v>46256</v>
      </c>
      <c r="B24" s="183">
        <v>2.75</v>
      </c>
      <c r="C24" s="205">
        <v>4.75</v>
      </c>
      <c r="D24" s="205">
        <v>1.25</v>
      </c>
      <c r="E24" s="205"/>
      <c r="F24" s="205">
        <v>1.75</v>
      </c>
      <c r="G24" s="205">
        <v>1.25</v>
      </c>
      <c r="H24" s="205"/>
      <c r="I24" s="188">
        <v>3</v>
      </c>
      <c r="J24" s="117" t="s">
        <v>546</v>
      </c>
      <c r="K24" s="5" t="s">
        <v>549</v>
      </c>
      <c r="L24" s="204" t="s">
        <v>550</v>
      </c>
      <c r="M24" s="204">
        <v>7</v>
      </c>
      <c r="N24" s="197" t="s">
        <v>48</v>
      </c>
      <c r="O24" s="73">
        <v>10</v>
      </c>
      <c r="P24" s="202">
        <v>-1.5</v>
      </c>
    </row>
    <row r="25" spans="1:16" ht="16.5" x14ac:dyDescent="0.3">
      <c r="A25" s="8">
        <v>46257</v>
      </c>
      <c r="B25" s="183">
        <v>2.25</v>
      </c>
      <c r="C25" s="205"/>
      <c r="D25" s="205">
        <v>2.75</v>
      </c>
      <c r="E25" s="205">
        <v>0.75</v>
      </c>
      <c r="F25" s="205"/>
      <c r="G25" s="205">
        <v>4</v>
      </c>
      <c r="H25" s="205">
        <v>1.5</v>
      </c>
      <c r="I25" s="188"/>
      <c r="K25" s="203" t="s">
        <v>551</v>
      </c>
      <c r="L25" s="204" t="s">
        <v>561</v>
      </c>
      <c r="M25" s="204">
        <v>2</v>
      </c>
      <c r="N25" s="197" t="s">
        <v>22</v>
      </c>
      <c r="O25" s="73">
        <v>15</v>
      </c>
    </row>
    <row r="26" spans="1:16" ht="16.5" x14ac:dyDescent="0.3">
      <c r="A26" s="8">
        <v>46258</v>
      </c>
      <c r="B26" s="183">
        <v>2.5</v>
      </c>
      <c r="C26" s="205"/>
      <c r="D26" s="205">
        <v>3</v>
      </c>
      <c r="E26" s="205">
        <v>1</v>
      </c>
      <c r="F26" s="205">
        <v>0.5</v>
      </c>
      <c r="G26" s="205">
        <v>3</v>
      </c>
      <c r="H26" s="205"/>
      <c r="I26" s="188"/>
      <c r="J26" s="117"/>
      <c r="K26" s="203" t="s">
        <v>557</v>
      </c>
      <c r="L26" s="204" t="s">
        <v>150</v>
      </c>
      <c r="M26" s="204">
        <v>15</v>
      </c>
      <c r="N26" s="74"/>
      <c r="O26" s="74"/>
      <c r="P26" s="202" t="s">
        <v>548</v>
      </c>
    </row>
    <row r="27" spans="1:16" ht="16.5" x14ac:dyDescent="0.3">
      <c r="A27" s="8">
        <v>46259</v>
      </c>
      <c r="B27" s="183"/>
      <c r="C27" s="205"/>
      <c r="D27" s="205"/>
      <c r="E27" s="205"/>
      <c r="F27" s="205">
        <v>0.5</v>
      </c>
      <c r="G27" s="205">
        <v>2.5</v>
      </c>
      <c r="H27" s="205">
        <v>2</v>
      </c>
      <c r="I27" s="188"/>
      <c r="K27" s="203" t="s">
        <v>553</v>
      </c>
      <c r="L27" s="20"/>
      <c r="M27" s="10"/>
      <c r="N27" s="74" t="s">
        <v>59</v>
      </c>
      <c r="O27" s="74">
        <v>15</v>
      </c>
      <c r="P27" s="202">
        <v>2</v>
      </c>
    </row>
    <row r="28" spans="1:16" ht="16.5" x14ac:dyDescent="0.3">
      <c r="A28" s="8">
        <v>46260</v>
      </c>
      <c r="B28" s="183">
        <v>4</v>
      </c>
      <c r="C28" s="205">
        <v>0.5</v>
      </c>
      <c r="D28" s="205">
        <v>1</v>
      </c>
      <c r="E28" s="205">
        <v>1.5</v>
      </c>
      <c r="F28" s="205">
        <v>0.5</v>
      </c>
      <c r="G28" s="205"/>
      <c r="H28" s="205"/>
      <c r="I28" s="188"/>
      <c r="J28" s="117"/>
      <c r="K28" s="203" t="s">
        <v>556</v>
      </c>
      <c r="L28" s="9"/>
    </row>
    <row r="29" spans="1:16" ht="16.5" x14ac:dyDescent="0.3">
      <c r="A29" s="8">
        <v>46261</v>
      </c>
      <c r="B29" s="183">
        <v>1.25</v>
      </c>
      <c r="C29" s="205"/>
      <c r="D29" s="205">
        <v>1.5</v>
      </c>
      <c r="E29" s="205">
        <v>1</v>
      </c>
      <c r="F29" s="205"/>
      <c r="G29" s="205">
        <v>1.25</v>
      </c>
      <c r="H29" s="205">
        <v>0.5</v>
      </c>
      <c r="I29" s="188"/>
      <c r="J29" s="117"/>
      <c r="K29" s="12" t="s">
        <v>555</v>
      </c>
      <c r="L29" s="17"/>
    </row>
    <row r="30" spans="1:16" ht="16.5" x14ac:dyDescent="0.3">
      <c r="A30" s="8">
        <v>46262</v>
      </c>
      <c r="B30" s="183">
        <v>5</v>
      </c>
      <c r="C30" s="205"/>
      <c r="D30" s="205">
        <v>1.25</v>
      </c>
      <c r="E30" s="205">
        <v>0.5</v>
      </c>
      <c r="F30" s="205"/>
      <c r="G30" s="205">
        <v>0.5</v>
      </c>
      <c r="H30" s="205"/>
      <c r="I30" s="188"/>
      <c r="J30" s="117"/>
      <c r="K30" s="203"/>
      <c r="L30" s="203"/>
      <c r="M30" s="203"/>
      <c r="N30" s="203"/>
      <c r="O30" s="203"/>
    </row>
    <row r="31" spans="1:16" ht="16.5" x14ac:dyDescent="0.3">
      <c r="A31" s="8">
        <v>46263</v>
      </c>
      <c r="B31" s="183">
        <v>5</v>
      </c>
      <c r="C31" s="205">
        <v>2</v>
      </c>
      <c r="D31" s="205"/>
      <c r="E31" s="205"/>
      <c r="F31" s="205">
        <v>2</v>
      </c>
      <c r="G31" s="205">
        <v>2</v>
      </c>
      <c r="H31" s="205">
        <v>1.5</v>
      </c>
      <c r="I31" s="188"/>
      <c r="J31" s="117" t="s">
        <v>508</v>
      </c>
      <c r="K31" s="5" t="s">
        <v>565</v>
      </c>
      <c r="L31" s="203"/>
      <c r="M31" s="203"/>
      <c r="N31" s="203"/>
      <c r="O31" s="203"/>
    </row>
    <row r="32" spans="1:16" ht="33" x14ac:dyDescent="0.3">
      <c r="A32" s="8">
        <v>46264</v>
      </c>
      <c r="B32" s="184">
        <v>6.5</v>
      </c>
      <c r="C32" s="205">
        <v>0.75</v>
      </c>
      <c r="D32" s="205">
        <v>0.25</v>
      </c>
      <c r="E32" s="205">
        <v>3.25</v>
      </c>
      <c r="F32" s="205">
        <v>0.5</v>
      </c>
      <c r="G32" s="205"/>
      <c r="H32" s="205">
        <v>1</v>
      </c>
      <c r="I32" s="188"/>
      <c r="J32" s="117"/>
      <c r="K32" s="5" t="s">
        <v>562</v>
      </c>
      <c r="L32" s="203"/>
      <c r="M32" s="203"/>
      <c r="N32" s="203"/>
      <c r="O32" s="203"/>
    </row>
    <row r="33" spans="1:16" ht="16.5" x14ac:dyDescent="0.3">
      <c r="A33" s="8">
        <v>46265</v>
      </c>
      <c r="B33" s="201">
        <v>4</v>
      </c>
      <c r="C33" s="203">
        <v>0.25</v>
      </c>
      <c r="D33" s="203">
        <v>0.25</v>
      </c>
      <c r="E33" s="203">
        <v>0.5</v>
      </c>
      <c r="F33" s="203"/>
      <c r="G33" s="203">
        <v>1.25</v>
      </c>
      <c r="H33" s="203"/>
      <c r="I33" s="117"/>
      <c r="J33" s="117"/>
      <c r="L33" s="203"/>
      <c r="M33" s="203"/>
      <c r="N33" s="203"/>
      <c r="O33" s="203"/>
      <c r="P33" s="202">
        <v>2</v>
      </c>
    </row>
    <row r="34" spans="1:16" ht="16.5" x14ac:dyDescent="0.3">
      <c r="A34" s="203" t="s">
        <v>17</v>
      </c>
      <c r="B34" s="203">
        <v>3</v>
      </c>
      <c r="C34" s="203"/>
      <c r="D34" s="203"/>
      <c r="E34" s="203" t="s">
        <v>383</v>
      </c>
      <c r="F34" s="203">
        <v>15</v>
      </c>
      <c r="G34" s="203"/>
      <c r="H34" s="203"/>
      <c r="I34" s="206"/>
      <c r="J34" s="117"/>
      <c r="K34" s="203"/>
      <c r="L34" s="203"/>
      <c r="M34" s="203"/>
      <c r="N34" s="203"/>
      <c r="O34" s="203"/>
    </row>
    <row r="35" spans="1:16" ht="16.5" x14ac:dyDescent="0.3">
      <c r="A35" s="203"/>
      <c r="B35" s="203"/>
      <c r="C35" s="203"/>
      <c r="D35" s="203"/>
      <c r="E35" s="203"/>
      <c r="F35" s="203"/>
      <c r="G35" s="203"/>
      <c r="H35" s="203"/>
      <c r="I35" s="206"/>
      <c r="J35" s="117"/>
      <c r="K35" s="203"/>
      <c r="L35" s="203"/>
    </row>
    <row r="36" spans="1:16" ht="16.5" x14ac:dyDescent="0.3">
      <c r="A36" s="203"/>
      <c r="B36" s="203"/>
      <c r="C36" s="203"/>
      <c r="D36" s="203"/>
      <c r="E36" s="203"/>
      <c r="F36" s="203"/>
      <c r="G36" s="203"/>
      <c r="H36" s="203"/>
      <c r="I36" s="206"/>
      <c r="J36" s="117"/>
      <c r="K36" s="203"/>
      <c r="L36" s="203"/>
    </row>
    <row r="37" spans="1:16" ht="16.5" x14ac:dyDescent="0.3">
      <c r="L37" s="203"/>
    </row>
    <row r="38" spans="1:16" ht="16.5" x14ac:dyDescent="0.3">
      <c r="L38" s="203"/>
    </row>
    <row r="53" spans="4:8" x14ac:dyDescent="0.25">
      <c r="D53" s="202" t="s">
        <v>20</v>
      </c>
      <c r="H53" s="202">
        <v>1</v>
      </c>
    </row>
    <row r="55" spans="4:8" x14ac:dyDescent="0.25">
      <c r="H55" s="202">
        <v>1</v>
      </c>
    </row>
    <row r="56" spans="4:8" x14ac:dyDescent="0.25">
      <c r="H56" s="202">
        <v>2</v>
      </c>
    </row>
    <row r="57" spans="4:8" x14ac:dyDescent="0.25">
      <c r="E57" s="13"/>
    </row>
    <row r="58" spans="4:8" x14ac:dyDescent="0.25">
      <c r="E58" s="13"/>
    </row>
    <row r="60" spans="4:8" x14ac:dyDescent="0.25">
      <c r="E60" s="13"/>
    </row>
  </sheetData>
  <mergeCells count="1">
    <mergeCell ref="P1:Q1"/>
  </mergeCells>
  <conditionalFormatting sqref="J1">
    <cfRule type="cellIs" priority="9" operator="lessThanOrEqual">
      <formula>$C$36</formula>
    </cfRule>
  </conditionalFormatting>
  <conditionalFormatting sqref="B3:B32">
    <cfRule type="cellIs" dxfId="18" priority="7" operator="lessThan">
      <formula>$B$34</formula>
    </cfRule>
    <cfRule type="cellIs" dxfId="17" priority="8" operator="greaterThan">
      <formula>$B$34</formula>
    </cfRule>
  </conditionalFormatting>
  <conditionalFormatting sqref="A3:A33">
    <cfRule type="expression" dxfId="16" priority="6">
      <formula>WEEKDAY(A3,2)&gt;5</formula>
    </cfRule>
  </conditionalFormatting>
  <conditionalFormatting sqref="I4:J6 I3 J13:J26 I30:J32 J28:J29 J7:J11">
    <cfRule type="colorScale" priority="5">
      <colorScale>
        <cfvo type="num" val="15"/>
        <cfvo type="num" val="30"/>
        <color rgb="FFFF7128"/>
        <color rgb="FFFFEF9C"/>
      </colorScale>
    </cfRule>
  </conditionalFormatting>
  <conditionalFormatting sqref="I7:I29">
    <cfRule type="colorScale" priority="4">
      <colorScale>
        <cfvo type="num" val="15"/>
        <cfvo type="num" val="30"/>
        <color rgb="FFFF7128"/>
        <color rgb="FFFFEF9C"/>
      </colorScale>
    </cfRule>
  </conditionalFormatting>
  <conditionalFormatting sqref="B33">
    <cfRule type="cellIs" dxfId="15" priority="2" operator="lessThan">
      <formula>$B$34</formula>
    </cfRule>
    <cfRule type="cellIs" dxfId="14" priority="3" operator="greaterThan">
      <formula>$B$34</formula>
    </cfRule>
  </conditionalFormatting>
  <conditionalFormatting sqref="I33">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tabSelected="1" zoomScaleNormal="100" workbookViewId="0">
      <pane ySplit="1" topLeftCell="A2" activePane="bottomLeft" state="frozen"/>
      <selection pane="bottomLeft" activeCell="L24" sqref="L24"/>
    </sheetView>
  </sheetViews>
  <sheetFormatPr defaultRowHeight="15" x14ac:dyDescent="0.25"/>
  <cols>
    <col min="1" max="1" width="10.85546875" style="213" customWidth="1"/>
    <col min="2" max="2" width="8.42578125" style="213" customWidth="1"/>
    <col min="3" max="3" width="9.5703125" style="213" customWidth="1"/>
    <col min="4" max="4" width="8.42578125" style="213" customWidth="1"/>
    <col min="5" max="5" width="11.28515625" style="213" customWidth="1"/>
    <col min="6" max="6" width="8.28515625" style="213" customWidth="1"/>
    <col min="7" max="7" width="9.140625" style="213"/>
    <col min="8" max="8" width="6.5703125" style="213" customWidth="1"/>
    <col min="9" max="9" width="10.28515625" style="209" customWidth="1"/>
    <col min="10" max="10" width="18.28515625" style="88" customWidth="1"/>
    <col min="11" max="11" width="42.7109375" style="213" customWidth="1"/>
    <col min="12" max="12" width="64.85546875" style="213" customWidth="1"/>
    <col min="13" max="13" width="9.28515625" style="213" customWidth="1"/>
    <col min="14" max="14" width="19.85546875" style="213" bestFit="1" customWidth="1"/>
    <col min="15" max="15" width="14.28515625" style="213" customWidth="1"/>
    <col min="16" max="16384" width="9.140625" style="213"/>
  </cols>
  <sheetData>
    <row r="1" spans="1:17" ht="53.25" customHeight="1" x14ac:dyDescent="0.25">
      <c r="A1" s="266" t="s">
        <v>12</v>
      </c>
      <c r="B1" s="266" t="s">
        <v>0</v>
      </c>
      <c r="C1" s="266" t="s">
        <v>42</v>
      </c>
      <c r="D1" s="266" t="s">
        <v>43</v>
      </c>
      <c r="E1" s="266" t="s">
        <v>41</v>
      </c>
      <c r="F1" s="266" t="s">
        <v>50</v>
      </c>
      <c r="G1" s="266" t="s">
        <v>1</v>
      </c>
      <c r="H1" s="266" t="s">
        <v>56</v>
      </c>
      <c r="I1" s="266" t="s">
        <v>74</v>
      </c>
      <c r="J1" s="266" t="s">
        <v>152</v>
      </c>
      <c r="K1" s="267" t="s">
        <v>17</v>
      </c>
      <c r="L1" s="266" t="s">
        <v>2</v>
      </c>
      <c r="M1" s="6"/>
      <c r="N1" s="198" t="s">
        <v>14</v>
      </c>
      <c r="O1" s="198">
        <f>SUM(B3:B33)</f>
        <v>3.25</v>
      </c>
      <c r="P1" s="265" t="s">
        <v>457</v>
      </c>
      <c r="Q1" s="265"/>
    </row>
    <row r="2" spans="1:17" ht="16.5" x14ac:dyDescent="0.3">
      <c r="B2" s="117">
        <f>SUM(B3:B33)</f>
        <v>3.25</v>
      </c>
      <c r="C2" s="117">
        <f t="shared" ref="C2" si="0">SUM(C3:C33)</f>
        <v>0.25</v>
      </c>
      <c r="D2" s="117">
        <f>SUM(D3:D33)</f>
        <v>0.5</v>
      </c>
      <c r="E2" s="117">
        <f t="shared" ref="E2:H2" si="1">SUM(E3:E33)</f>
        <v>2</v>
      </c>
      <c r="F2" s="117">
        <f>SUM(F3:F34)</f>
        <v>15</v>
      </c>
      <c r="G2" s="117">
        <f t="shared" si="1"/>
        <v>0</v>
      </c>
      <c r="H2" s="117">
        <f t="shared" si="1"/>
        <v>0</v>
      </c>
      <c r="I2" s="117">
        <f>SUM(I3:I30)/60</f>
        <v>0</v>
      </c>
      <c r="J2" s="117"/>
      <c r="K2" s="106">
        <f>SUM(E2:G2)</f>
        <v>17</v>
      </c>
      <c r="L2" s="216"/>
      <c r="M2" s="213" t="s">
        <v>13</v>
      </c>
      <c r="N2" s="122" t="s">
        <v>15</v>
      </c>
      <c r="O2" s="122">
        <f>SUM(C2:E2)</f>
        <v>2.75</v>
      </c>
      <c r="P2" s="215"/>
      <c r="Q2" s="215"/>
    </row>
    <row r="3" spans="1:17" ht="16.5" x14ac:dyDescent="0.3">
      <c r="A3" s="8">
        <v>46266</v>
      </c>
      <c r="B3" s="184">
        <v>3.25</v>
      </c>
      <c r="C3" s="205">
        <v>0.25</v>
      </c>
      <c r="D3" s="205">
        <v>0.5</v>
      </c>
      <c r="E3" s="205">
        <v>2</v>
      </c>
      <c r="F3" s="205"/>
      <c r="G3" s="205"/>
      <c r="H3" s="205"/>
      <c r="I3" s="188"/>
      <c r="J3" s="117" t="s">
        <v>580</v>
      </c>
      <c r="K3" s="216"/>
      <c r="L3" s="19" t="s">
        <v>24</v>
      </c>
      <c r="M3" s="130">
        <f>SUM(M4:M28)</f>
        <v>17</v>
      </c>
      <c r="N3" s="121" t="s">
        <v>16</v>
      </c>
      <c r="O3" s="121">
        <f>SUM(F2:H2)</f>
        <v>15</v>
      </c>
    </row>
    <row r="4" spans="1:17" ht="16.5" x14ac:dyDescent="0.3">
      <c r="A4" s="8">
        <v>46267</v>
      </c>
      <c r="B4" s="183"/>
      <c r="C4" s="205"/>
      <c r="D4" s="205"/>
      <c r="E4" s="205"/>
      <c r="F4" s="205"/>
      <c r="G4" s="205"/>
      <c r="H4" s="205"/>
      <c r="I4" s="188"/>
      <c r="J4" s="117"/>
      <c r="K4" s="216"/>
      <c r="L4" s="217" t="s">
        <v>572</v>
      </c>
      <c r="M4" s="217">
        <v>1.5</v>
      </c>
    </row>
    <row r="5" spans="1:17" ht="16.5" x14ac:dyDescent="0.3">
      <c r="A5" s="8">
        <v>46268</v>
      </c>
      <c r="B5" s="183"/>
      <c r="C5" s="205"/>
      <c r="D5" s="205"/>
      <c r="E5" s="205"/>
      <c r="F5" s="205"/>
      <c r="G5" s="205"/>
      <c r="H5" s="205"/>
      <c r="I5" s="188"/>
      <c r="J5" s="213"/>
      <c r="K5" s="216"/>
      <c r="L5" s="217" t="s">
        <v>573</v>
      </c>
      <c r="M5" s="217">
        <v>0.5</v>
      </c>
      <c r="N5" s="213" t="s">
        <v>196</v>
      </c>
    </row>
    <row r="6" spans="1:17" ht="16.5" x14ac:dyDescent="0.3">
      <c r="A6" s="8">
        <v>46269</v>
      </c>
      <c r="B6" s="183"/>
      <c r="C6" s="205"/>
      <c r="D6" s="205"/>
      <c r="E6" s="205"/>
      <c r="F6" s="205"/>
      <c r="G6" s="205"/>
      <c r="H6" s="205"/>
      <c r="I6" s="188"/>
      <c r="J6" s="117"/>
      <c r="K6" s="12"/>
      <c r="L6" s="217" t="s">
        <v>574</v>
      </c>
      <c r="M6" s="217"/>
      <c r="N6" s="16" t="s">
        <v>19</v>
      </c>
      <c r="O6" s="16" t="s">
        <v>21</v>
      </c>
    </row>
    <row r="7" spans="1:17" ht="16.5" x14ac:dyDescent="0.3">
      <c r="A7" s="8">
        <v>46270</v>
      </c>
      <c r="B7" s="183"/>
      <c r="C7" s="205"/>
      <c r="D7" s="205"/>
      <c r="F7" s="205"/>
      <c r="G7" s="205"/>
      <c r="H7" s="205"/>
      <c r="I7" s="188"/>
      <c r="J7" s="117"/>
      <c r="K7" s="12"/>
      <c r="L7" s="217" t="s">
        <v>506</v>
      </c>
      <c r="M7" s="217"/>
      <c r="N7" s="124" t="s">
        <v>123</v>
      </c>
      <c r="O7" s="31" t="s">
        <v>173</v>
      </c>
    </row>
    <row r="8" spans="1:17" ht="16.5" x14ac:dyDescent="0.3">
      <c r="A8" s="8">
        <v>46271</v>
      </c>
      <c r="B8" s="183"/>
      <c r="C8" s="205"/>
      <c r="D8" s="205"/>
      <c r="E8" s="205"/>
      <c r="F8" s="205"/>
      <c r="G8" s="205"/>
      <c r="H8" s="205"/>
      <c r="I8" s="188"/>
      <c r="J8" s="117"/>
      <c r="K8" s="185"/>
      <c r="L8" s="217"/>
      <c r="M8" s="217"/>
      <c r="N8" s="125" t="s">
        <v>126</v>
      </c>
      <c r="O8" s="32" t="s">
        <v>62</v>
      </c>
    </row>
    <row r="9" spans="1:17" ht="16.5" x14ac:dyDescent="0.3">
      <c r="A9" s="8">
        <v>46272</v>
      </c>
      <c r="B9" s="183"/>
      <c r="C9" s="205"/>
      <c r="D9" s="205"/>
      <c r="E9" s="205"/>
      <c r="F9" s="205"/>
      <c r="G9" s="205"/>
      <c r="H9" s="205"/>
      <c r="I9" s="188"/>
      <c r="K9" s="12"/>
      <c r="L9" s="217"/>
      <c r="M9" s="217"/>
      <c r="N9" s="213" t="s">
        <v>127</v>
      </c>
      <c r="O9" s="213" t="s">
        <v>129</v>
      </c>
    </row>
    <row r="10" spans="1:17" ht="16.5" x14ac:dyDescent="0.3">
      <c r="A10" s="8">
        <v>46273</v>
      </c>
      <c r="B10" s="183"/>
      <c r="C10" s="205"/>
      <c r="D10" s="205"/>
      <c r="E10" s="205"/>
      <c r="F10" s="205"/>
      <c r="G10" s="205"/>
      <c r="H10" s="205"/>
      <c r="I10" s="188"/>
      <c r="J10" s="117"/>
      <c r="K10" s="12"/>
      <c r="L10" s="217" t="s">
        <v>575</v>
      </c>
      <c r="M10" s="217"/>
      <c r="N10" s="126" t="s">
        <v>128</v>
      </c>
      <c r="O10" s="75" t="s">
        <v>130</v>
      </c>
    </row>
    <row r="11" spans="1:17" ht="16.5" x14ac:dyDescent="0.3">
      <c r="A11" s="8">
        <v>46274</v>
      </c>
      <c r="B11" s="183"/>
      <c r="C11" s="205"/>
      <c r="D11" s="205"/>
      <c r="E11" s="205"/>
      <c r="F11" s="205"/>
      <c r="H11" s="205"/>
      <c r="I11" s="188"/>
      <c r="J11" s="117"/>
      <c r="K11" s="12"/>
      <c r="L11" s="217"/>
      <c r="M11" s="217"/>
      <c r="N11" s="125" t="s">
        <v>125</v>
      </c>
      <c r="O11" s="32" t="s">
        <v>63</v>
      </c>
    </row>
    <row r="12" spans="1:17" ht="16.5" x14ac:dyDescent="0.3">
      <c r="A12" s="8">
        <v>46275</v>
      </c>
      <c r="B12" s="183"/>
      <c r="C12" s="205"/>
      <c r="D12" s="205"/>
      <c r="E12" s="205"/>
      <c r="F12" s="205"/>
      <c r="G12" s="205"/>
      <c r="H12" s="205"/>
      <c r="I12" s="188"/>
      <c r="K12" s="12"/>
      <c r="L12" s="217"/>
      <c r="M12" s="217"/>
      <c r="N12" s="213" t="s">
        <v>131</v>
      </c>
      <c r="O12" s="213" t="s">
        <v>59</v>
      </c>
    </row>
    <row r="13" spans="1:17" ht="16.5" x14ac:dyDescent="0.3">
      <c r="A13" s="8">
        <v>46276</v>
      </c>
      <c r="B13" s="183"/>
      <c r="C13" s="205"/>
      <c r="D13" s="205"/>
      <c r="E13" s="205"/>
      <c r="F13" s="205"/>
      <c r="G13" s="205"/>
      <c r="H13" s="205"/>
      <c r="I13" s="188"/>
      <c r="J13" s="117"/>
      <c r="K13" s="12"/>
      <c r="L13" s="217" t="s">
        <v>576</v>
      </c>
      <c r="M13" s="217"/>
      <c r="N13" s="125" t="s">
        <v>135</v>
      </c>
      <c r="O13" s="40" t="s">
        <v>134</v>
      </c>
    </row>
    <row r="14" spans="1:17" ht="34.5" customHeight="1" x14ac:dyDescent="0.3">
      <c r="A14" s="8">
        <v>46277</v>
      </c>
      <c r="B14" s="183"/>
      <c r="C14" s="205"/>
      <c r="D14" s="205"/>
      <c r="E14" s="205"/>
      <c r="F14" s="205"/>
      <c r="G14" s="205"/>
      <c r="H14" s="205"/>
      <c r="I14" s="188"/>
      <c r="K14" s="12"/>
      <c r="L14" s="217" t="s">
        <v>577</v>
      </c>
      <c r="M14" s="217"/>
      <c r="N14" s="36" t="s">
        <v>132</v>
      </c>
      <c r="O14" s="36" t="s">
        <v>133</v>
      </c>
    </row>
    <row r="15" spans="1:17" ht="16.5" x14ac:dyDescent="0.3">
      <c r="A15" s="8">
        <v>46278</v>
      </c>
      <c r="B15" s="183"/>
      <c r="C15" s="205"/>
      <c r="D15" s="205"/>
      <c r="E15" s="205"/>
      <c r="F15" s="205"/>
      <c r="G15" s="205"/>
      <c r="H15" s="205"/>
      <c r="I15" s="188"/>
      <c r="J15" s="117"/>
      <c r="K15" s="12"/>
      <c r="L15" s="217"/>
      <c r="M15" s="217"/>
      <c r="N15" s="127" t="s">
        <v>54</v>
      </c>
      <c r="O15" s="33" t="s">
        <v>3</v>
      </c>
    </row>
    <row r="16" spans="1:17" ht="16.5" x14ac:dyDescent="0.3">
      <c r="A16" s="8">
        <v>46279</v>
      </c>
      <c r="B16" s="183"/>
      <c r="C16" s="205"/>
      <c r="D16" s="205"/>
      <c r="E16" s="205"/>
      <c r="F16" s="205"/>
      <c r="G16" s="205"/>
      <c r="H16" s="205"/>
      <c r="I16" s="188"/>
      <c r="K16" s="12"/>
      <c r="L16" s="217"/>
      <c r="M16" s="217"/>
      <c r="N16" s="127" t="s">
        <v>136</v>
      </c>
      <c r="O16" s="33" t="s">
        <v>55</v>
      </c>
    </row>
    <row r="17" spans="1:16" ht="16.5" x14ac:dyDescent="0.3">
      <c r="A17" s="8">
        <v>46280</v>
      </c>
      <c r="B17" s="183"/>
      <c r="C17" s="205"/>
      <c r="D17" s="205"/>
      <c r="E17" s="205"/>
      <c r="F17" s="205"/>
      <c r="G17" s="205"/>
      <c r="H17" s="205"/>
      <c r="I17" s="188"/>
      <c r="K17" s="12"/>
      <c r="L17" s="217" t="s">
        <v>578</v>
      </c>
      <c r="M17" s="217"/>
      <c r="N17" s="127" t="s">
        <v>137</v>
      </c>
      <c r="O17" s="33" t="s">
        <v>40</v>
      </c>
    </row>
    <row r="18" spans="1:16" ht="16.5" x14ac:dyDescent="0.3">
      <c r="A18" s="8">
        <v>46281</v>
      </c>
      <c r="B18" s="183"/>
      <c r="C18" s="205"/>
      <c r="D18" s="205"/>
      <c r="E18" s="205"/>
      <c r="F18" s="205"/>
      <c r="G18" s="205"/>
      <c r="H18" s="205"/>
      <c r="I18" s="188"/>
      <c r="K18" s="12"/>
      <c r="L18" s="217"/>
      <c r="M18" s="217"/>
      <c r="N18" s="213" t="s">
        <v>71</v>
      </c>
    </row>
    <row r="19" spans="1:16" ht="16.5" x14ac:dyDescent="0.3">
      <c r="A19" s="8">
        <v>46282</v>
      </c>
      <c r="B19" s="183"/>
      <c r="C19" s="205"/>
      <c r="D19" s="205"/>
      <c r="E19" s="205"/>
      <c r="F19" s="205"/>
      <c r="G19" s="205"/>
      <c r="H19" s="205"/>
      <c r="I19" s="188"/>
      <c r="K19" s="12"/>
      <c r="L19" s="217" t="s">
        <v>579</v>
      </c>
      <c r="M19" s="217"/>
      <c r="N19" s="128"/>
      <c r="P19" s="211"/>
    </row>
    <row r="20" spans="1:16" ht="16.5" x14ac:dyDescent="0.3">
      <c r="A20" s="8">
        <v>46283</v>
      </c>
      <c r="B20" s="183"/>
      <c r="C20" s="205"/>
      <c r="D20" s="205"/>
      <c r="E20" s="205"/>
      <c r="F20" s="205"/>
      <c r="G20" s="205"/>
      <c r="H20" s="205"/>
      <c r="I20" s="188"/>
      <c r="K20" s="12"/>
      <c r="L20" s="217"/>
      <c r="M20" s="217"/>
      <c r="N20" s="129" t="s">
        <v>45</v>
      </c>
      <c r="O20" s="72">
        <v>10</v>
      </c>
      <c r="P20" s="211"/>
    </row>
    <row r="21" spans="1:16" ht="16.5" x14ac:dyDescent="0.3">
      <c r="A21" s="8">
        <v>46284</v>
      </c>
      <c r="B21" s="183"/>
      <c r="C21" s="205"/>
      <c r="D21" s="205"/>
      <c r="E21" s="205"/>
      <c r="F21" s="205"/>
      <c r="G21" s="205"/>
      <c r="H21" s="205"/>
      <c r="I21" s="188"/>
      <c r="K21" s="12"/>
      <c r="L21" s="217"/>
      <c r="M21" s="217"/>
      <c r="N21" s="129" t="s">
        <v>46</v>
      </c>
      <c r="O21" s="72">
        <v>20</v>
      </c>
      <c r="P21" s="86"/>
    </row>
    <row r="22" spans="1:16" ht="16.5" x14ac:dyDescent="0.3">
      <c r="A22" s="8">
        <v>46285</v>
      </c>
      <c r="B22" s="183"/>
      <c r="C22" s="205"/>
      <c r="D22" s="205"/>
      <c r="E22" s="205"/>
      <c r="F22" s="205"/>
      <c r="G22" s="205"/>
      <c r="H22" s="205"/>
      <c r="I22" s="188"/>
      <c r="K22" s="12"/>
      <c r="L22" s="217" t="s">
        <v>547</v>
      </c>
      <c r="M22" s="217"/>
      <c r="N22" s="129" t="s">
        <v>58</v>
      </c>
      <c r="O22" s="72">
        <v>30</v>
      </c>
      <c r="P22" s="86"/>
    </row>
    <row r="23" spans="1:16" ht="16.5" x14ac:dyDescent="0.3">
      <c r="A23" s="8">
        <v>46286</v>
      </c>
      <c r="B23" s="183"/>
      <c r="C23" s="205"/>
      <c r="D23" s="205"/>
      <c r="E23" s="205"/>
      <c r="F23" s="205"/>
      <c r="G23" s="205"/>
      <c r="H23" s="205"/>
      <c r="I23" s="188"/>
      <c r="K23" s="12"/>
      <c r="L23" s="218" t="s">
        <v>581</v>
      </c>
      <c r="M23" s="217"/>
      <c r="N23" s="197" t="s">
        <v>47</v>
      </c>
      <c r="O23" s="73">
        <v>20</v>
      </c>
      <c r="P23" s="86"/>
    </row>
    <row r="24" spans="1:16" ht="16.5" x14ac:dyDescent="0.3">
      <c r="A24" s="8">
        <v>46287</v>
      </c>
      <c r="B24" s="183"/>
      <c r="C24" s="205"/>
      <c r="D24" s="205"/>
      <c r="E24" s="205"/>
      <c r="F24" s="205"/>
      <c r="G24" s="205"/>
      <c r="H24" s="205"/>
      <c r="I24" s="188"/>
      <c r="J24" s="117"/>
      <c r="K24" s="5"/>
      <c r="L24" s="217"/>
      <c r="M24" s="217"/>
      <c r="N24" s="197" t="s">
        <v>48</v>
      </c>
      <c r="O24" s="73">
        <v>10</v>
      </c>
    </row>
    <row r="25" spans="1:16" ht="16.5" x14ac:dyDescent="0.3">
      <c r="A25" s="8">
        <v>46288</v>
      </c>
      <c r="B25" s="183"/>
      <c r="C25" s="205"/>
      <c r="D25" s="205"/>
      <c r="E25" s="205"/>
      <c r="F25" s="205"/>
      <c r="G25" s="205"/>
      <c r="H25" s="205"/>
      <c r="I25" s="188"/>
      <c r="K25" s="216"/>
      <c r="L25" s="217"/>
      <c r="M25" s="217"/>
      <c r="N25" s="197" t="s">
        <v>22</v>
      </c>
      <c r="O25" s="73">
        <v>15</v>
      </c>
    </row>
    <row r="26" spans="1:16" ht="16.5" x14ac:dyDescent="0.3">
      <c r="A26" s="8">
        <v>46289</v>
      </c>
      <c r="B26" s="183"/>
      <c r="C26" s="205"/>
      <c r="D26" s="205"/>
      <c r="E26" s="205"/>
      <c r="F26" s="205"/>
      <c r="G26" s="205"/>
      <c r="H26" s="205"/>
      <c r="I26" s="188"/>
      <c r="J26" s="117"/>
      <c r="K26" s="216"/>
      <c r="L26" s="217" t="s">
        <v>150</v>
      </c>
      <c r="M26" s="217">
        <v>15</v>
      </c>
      <c r="N26" s="74"/>
      <c r="O26" s="74"/>
    </row>
    <row r="27" spans="1:16" ht="16.5" x14ac:dyDescent="0.3">
      <c r="A27" s="8">
        <v>46290</v>
      </c>
      <c r="B27" s="183"/>
      <c r="C27" s="205"/>
      <c r="D27" s="205"/>
      <c r="E27" s="205"/>
      <c r="F27" s="205"/>
      <c r="G27" s="205"/>
      <c r="H27" s="205"/>
      <c r="I27" s="188"/>
      <c r="K27" s="216"/>
      <c r="L27" s="20"/>
      <c r="M27" s="10"/>
      <c r="N27" s="74" t="s">
        <v>59</v>
      </c>
      <c r="O27" s="74">
        <v>15</v>
      </c>
    </row>
    <row r="28" spans="1:16" ht="16.5" x14ac:dyDescent="0.3">
      <c r="A28" s="8">
        <v>46291</v>
      </c>
      <c r="B28" s="183"/>
      <c r="C28" s="205"/>
      <c r="D28" s="205"/>
      <c r="E28" s="205"/>
      <c r="F28" s="205"/>
      <c r="G28" s="205"/>
      <c r="H28" s="205"/>
      <c r="I28" s="188"/>
      <c r="J28" s="117"/>
      <c r="K28" s="216"/>
      <c r="L28" s="9"/>
    </row>
    <row r="29" spans="1:16" ht="16.5" x14ac:dyDescent="0.3">
      <c r="A29" s="8">
        <v>46292</v>
      </c>
      <c r="B29" s="183"/>
      <c r="C29" s="205"/>
      <c r="D29" s="205"/>
      <c r="E29" s="205"/>
      <c r="F29" s="205"/>
      <c r="G29" s="205"/>
      <c r="H29" s="205"/>
      <c r="I29" s="188"/>
      <c r="J29" s="117"/>
      <c r="K29" s="12"/>
      <c r="L29" s="17"/>
    </row>
    <row r="30" spans="1:16" ht="16.5" x14ac:dyDescent="0.3">
      <c r="A30" s="8">
        <v>46293</v>
      </c>
      <c r="B30" s="183"/>
      <c r="C30" s="205"/>
      <c r="D30" s="205"/>
      <c r="E30" s="205"/>
      <c r="F30" s="205"/>
      <c r="G30" s="205"/>
      <c r="H30" s="205"/>
      <c r="I30" s="188"/>
      <c r="J30" s="117"/>
      <c r="K30" s="216"/>
      <c r="L30" s="216"/>
      <c r="M30" s="216"/>
      <c r="N30" s="216"/>
      <c r="O30" s="216"/>
    </row>
    <row r="31" spans="1:16" ht="16.5" x14ac:dyDescent="0.3">
      <c r="A31" s="8">
        <v>46294</v>
      </c>
      <c r="B31" s="183"/>
      <c r="C31" s="205"/>
      <c r="D31" s="205"/>
      <c r="E31" s="205"/>
      <c r="F31" s="205"/>
      <c r="G31" s="205"/>
      <c r="H31" s="205"/>
      <c r="I31" s="188"/>
      <c r="J31" s="117"/>
      <c r="K31" s="5"/>
      <c r="L31" s="216"/>
      <c r="M31" s="216"/>
      <c r="N31" s="216"/>
      <c r="O31" s="216"/>
    </row>
    <row r="32" spans="1:16" ht="16.5" x14ac:dyDescent="0.3">
      <c r="A32" s="8">
        <v>46295</v>
      </c>
      <c r="B32" s="184"/>
      <c r="C32" s="205"/>
      <c r="D32" s="205"/>
      <c r="E32" s="205"/>
      <c r="F32" s="205"/>
      <c r="G32" s="205"/>
      <c r="H32" s="205"/>
      <c r="I32" s="188"/>
      <c r="J32" s="117"/>
      <c r="K32" s="5"/>
      <c r="L32" s="216"/>
      <c r="M32" s="216"/>
      <c r="N32" s="216"/>
      <c r="O32" s="216"/>
    </row>
    <row r="33" spans="1:16" ht="16.5" x14ac:dyDescent="0.3">
      <c r="A33" s="8">
        <v>46265</v>
      </c>
      <c r="B33" s="214"/>
      <c r="C33" s="216"/>
      <c r="D33" s="216"/>
      <c r="E33" s="216"/>
      <c r="F33" s="216"/>
      <c r="G33" s="216"/>
      <c r="H33" s="216"/>
      <c r="I33" s="117"/>
      <c r="J33" s="117"/>
      <c r="L33" s="216"/>
      <c r="M33" s="216"/>
      <c r="N33" s="216"/>
      <c r="O33" s="216"/>
      <c r="P33" s="213">
        <v>2</v>
      </c>
    </row>
    <row r="34" spans="1:16" ht="16.5" x14ac:dyDescent="0.3">
      <c r="A34" s="216" t="s">
        <v>17</v>
      </c>
      <c r="B34" s="216">
        <v>3</v>
      </c>
      <c r="C34" s="216"/>
      <c r="D34" s="216"/>
      <c r="E34" s="216" t="s">
        <v>383</v>
      </c>
      <c r="F34" s="216">
        <v>15</v>
      </c>
      <c r="G34" s="216"/>
      <c r="H34" s="216"/>
      <c r="I34" s="212"/>
      <c r="J34" s="117"/>
      <c r="K34" s="216"/>
      <c r="L34" s="216"/>
      <c r="M34" s="216"/>
      <c r="N34" s="216"/>
      <c r="O34" s="216"/>
    </row>
    <row r="35" spans="1:16" ht="16.5" x14ac:dyDescent="0.3">
      <c r="A35" s="216"/>
      <c r="B35" s="216"/>
      <c r="C35" s="216"/>
      <c r="D35" s="216"/>
      <c r="E35" s="216"/>
      <c r="F35" s="216"/>
      <c r="G35" s="216"/>
      <c r="H35" s="216"/>
      <c r="I35" s="212"/>
      <c r="J35" s="117"/>
      <c r="K35" s="216"/>
      <c r="L35" s="216"/>
    </row>
    <row r="36" spans="1:16" ht="16.5" x14ac:dyDescent="0.3">
      <c r="A36" s="216"/>
      <c r="B36" s="216"/>
      <c r="C36" s="216"/>
      <c r="D36" s="216"/>
      <c r="E36" s="216"/>
      <c r="F36" s="216"/>
      <c r="G36" s="216"/>
      <c r="H36" s="216"/>
      <c r="I36" s="212"/>
      <c r="J36" s="117"/>
      <c r="K36" s="216"/>
      <c r="L36" s="216"/>
    </row>
    <row r="37" spans="1:16" ht="16.5" x14ac:dyDescent="0.3">
      <c r="L37" s="216"/>
    </row>
    <row r="38" spans="1:16" ht="16.5" x14ac:dyDescent="0.3">
      <c r="L38" s="216"/>
    </row>
    <row r="53" spans="4:8" x14ac:dyDescent="0.25">
      <c r="D53" s="213" t="s">
        <v>20</v>
      </c>
      <c r="H53" s="213">
        <v>1</v>
      </c>
    </row>
    <row r="55" spans="4:8" x14ac:dyDescent="0.25">
      <c r="H55" s="213">
        <v>1</v>
      </c>
    </row>
    <row r="56" spans="4:8" x14ac:dyDescent="0.25">
      <c r="H56" s="213">
        <v>2</v>
      </c>
    </row>
    <row r="57" spans="4:8" x14ac:dyDescent="0.25">
      <c r="E57" s="13"/>
    </row>
    <row r="58" spans="4:8" x14ac:dyDescent="0.25">
      <c r="E58" s="13"/>
    </row>
    <row r="60" spans="4:8" x14ac:dyDescent="0.25">
      <c r="E60" s="13"/>
    </row>
  </sheetData>
  <mergeCells count="1">
    <mergeCell ref="P1:Q1"/>
  </mergeCells>
  <conditionalFormatting sqref="J1">
    <cfRule type="cellIs" priority="9" operator="lessThanOrEqual">
      <formula>$C$36</formula>
    </cfRule>
  </conditionalFormatting>
  <conditionalFormatting sqref="B3:B32">
    <cfRule type="cellIs" dxfId="5" priority="7" operator="lessThan">
      <formula>$B$34</formula>
    </cfRule>
    <cfRule type="cellIs" dxfId="9" priority="8" operator="greaterThan">
      <formula>$B$34</formula>
    </cfRule>
  </conditionalFormatting>
  <conditionalFormatting sqref="A3:A33">
    <cfRule type="expression" dxfId="8" priority="6">
      <formula>WEEKDAY(A3,2)&gt;5</formula>
    </cfRule>
  </conditionalFormatting>
  <conditionalFormatting sqref="I4:J6 I3 J13:J26 I30:J32 J28:J29 J7:J11">
    <cfRule type="colorScale" priority="5">
      <colorScale>
        <cfvo type="num" val="15"/>
        <cfvo type="num" val="30"/>
        <color rgb="FFFF7128"/>
        <color rgb="FFFFEF9C"/>
      </colorScale>
    </cfRule>
  </conditionalFormatting>
  <conditionalFormatting sqref="I7:I29">
    <cfRule type="colorScale" priority="4">
      <colorScale>
        <cfvo type="num" val="15"/>
        <cfvo type="num" val="30"/>
        <color rgb="FFFF7128"/>
        <color rgb="FFFFEF9C"/>
      </colorScale>
    </cfRule>
  </conditionalFormatting>
  <conditionalFormatting sqref="B33">
    <cfRule type="cellIs" dxfId="7" priority="2" operator="lessThan">
      <formula>$B$34</formula>
    </cfRule>
    <cfRule type="cellIs" dxfId="6" priority="3" operator="greaterThan">
      <formula>$B$34</formula>
    </cfRule>
  </conditionalFormatting>
  <conditionalFormatting sqref="I33">
    <cfRule type="colorScale" priority="1">
      <colorScale>
        <cfvo type="num" val="15"/>
        <cfvo type="num" val="30"/>
        <color rgb="FFFF7128"/>
        <color rgb="FFFFEF9C"/>
      </colorScale>
    </cfRule>
  </conditionalFormatting>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Rules</vt:lpstr>
      <vt:lpstr>1.jan</vt:lpstr>
      <vt:lpstr>2.feb</vt:lpstr>
      <vt:lpstr>3.march</vt:lpstr>
      <vt:lpstr>4.apr</vt:lpstr>
      <vt:lpstr>5.may</vt:lpstr>
      <vt:lpstr>6.june </vt:lpstr>
      <vt:lpstr>7.july</vt:lpstr>
      <vt:lpstr>8,aug</vt:lpstr>
      <vt:lpstr>9.sept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2026-09-01T08:32:35Z</dcterms:modified>
</cp:coreProperties>
</file>