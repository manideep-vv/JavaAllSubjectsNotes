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7.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tables/table8.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tables/table9.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tables/table10.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tables/table11.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7650" activeTab="12"/>
  </bookViews>
  <sheets>
    <sheet name="1.jan-2025" sheetId="20" r:id="rId1"/>
    <sheet name="Rules" sheetId="21" r:id="rId2"/>
    <sheet name="2.feb" sheetId="24" r:id="rId3"/>
    <sheet name="3. march" sheetId="25" r:id="rId4"/>
    <sheet name="4.april" sheetId="26" r:id="rId5"/>
    <sheet name="5.may" sheetId="27" r:id="rId6"/>
    <sheet name="6.june " sheetId="30" r:id="rId7"/>
    <sheet name="7.july" sheetId="31" r:id="rId8"/>
    <sheet name="8.aug " sheetId="32" r:id="rId9"/>
    <sheet name="9.sept " sheetId="33" r:id="rId10"/>
    <sheet name="10.oct (2)" sheetId="34" r:id="rId11"/>
    <sheet name="11. nov " sheetId="35" r:id="rId12"/>
    <sheet name="12.dec" sheetId="28" r:id="rId13"/>
    <sheet name="Sheet1" sheetId="29" r:id="rId14"/>
  </sheets>
  <calcPr calcId="152511"/>
</workbook>
</file>

<file path=xl/calcChain.xml><?xml version="1.0" encoding="utf-8"?>
<calcChain xmlns="http://schemas.openxmlformats.org/spreadsheetml/2006/main">
  <c r="B2" i="35" l="1"/>
  <c r="B2" i="34"/>
  <c r="O40" i="28" l="1"/>
  <c r="J2" i="28" l="1"/>
  <c r="B2" i="28" l="1"/>
  <c r="C2" i="28" l="1"/>
  <c r="D2" i="28"/>
  <c r="E2" i="28"/>
  <c r="G2" i="28" l="1"/>
  <c r="H2" i="28"/>
  <c r="F2" i="28"/>
  <c r="P2" i="28" l="1"/>
  <c r="M25" i="35" l="1"/>
  <c r="R14" i="35"/>
  <c r="O4" i="35"/>
  <c r="O3" i="35"/>
  <c r="O2" i="35" s="1"/>
  <c r="P2" i="35"/>
  <c r="J2" i="35"/>
  <c r="I2" i="35"/>
  <c r="H2" i="35"/>
  <c r="G2" i="35"/>
  <c r="F2" i="35"/>
  <c r="K2" i="35" s="1"/>
  <c r="E2" i="35"/>
  <c r="D2" i="35"/>
  <c r="C2" i="35"/>
  <c r="O1" i="35"/>
  <c r="K25" i="34" l="1"/>
  <c r="P14" i="34"/>
  <c r="M4" i="34"/>
  <c r="M3" i="34"/>
  <c r="M2" i="34" s="1"/>
  <c r="N2" i="34"/>
  <c r="H2" i="34"/>
  <c r="G2" i="34"/>
  <c r="F2" i="34"/>
  <c r="E2" i="34"/>
  <c r="I2" i="34" s="1"/>
  <c r="D2" i="34"/>
  <c r="C2" i="34"/>
  <c r="M1" i="34"/>
  <c r="M25" i="28" l="1"/>
  <c r="N2" i="33"/>
  <c r="K25" i="33"/>
  <c r="P14" i="33"/>
  <c r="M4" i="33"/>
  <c r="M3" i="33"/>
  <c r="M2" i="33" s="1"/>
  <c r="H2" i="33"/>
  <c r="G2" i="33"/>
  <c r="F2" i="33"/>
  <c r="E2" i="33"/>
  <c r="I2" i="33" s="1"/>
  <c r="D2" i="33"/>
  <c r="C2" i="33"/>
  <c r="B2" i="33"/>
  <c r="M1" i="33"/>
  <c r="K2" i="28" l="1"/>
  <c r="O27" i="28"/>
  <c r="M37" i="32" l="1"/>
  <c r="K25" i="32"/>
  <c r="M4" i="32"/>
  <c r="M3" i="32"/>
  <c r="M2" i="32" s="1"/>
  <c r="H2" i="32"/>
  <c r="G2" i="32"/>
  <c r="F2" i="32"/>
  <c r="E2" i="32"/>
  <c r="I2" i="32" s="1"/>
  <c r="D2" i="32"/>
  <c r="C2" i="32"/>
  <c r="B2" i="32"/>
  <c r="M1" i="32"/>
  <c r="M37" i="31" l="1"/>
  <c r="K25" i="31"/>
  <c r="M4" i="31"/>
  <c r="M3" i="31"/>
  <c r="M2" i="31" s="1"/>
  <c r="G2" i="31"/>
  <c r="F2" i="31"/>
  <c r="E2" i="31"/>
  <c r="I2" i="31" s="1"/>
  <c r="D2" i="31"/>
  <c r="C2" i="31"/>
  <c r="M1" i="31"/>
  <c r="M37" i="30" l="1"/>
  <c r="M4" i="30"/>
  <c r="M3" i="30"/>
  <c r="M2" i="30"/>
  <c r="H2" i="30"/>
  <c r="G2" i="30"/>
  <c r="F2" i="30"/>
  <c r="E2" i="30"/>
  <c r="D2" i="30"/>
  <c r="C2" i="30"/>
  <c r="M1" i="30"/>
  <c r="P4" i="27" l="1"/>
  <c r="O4" i="28"/>
  <c r="O3" i="28"/>
  <c r="O1" i="28"/>
  <c r="O2" i="28" l="1"/>
  <c r="H2" i="27"/>
  <c r="G2" i="27"/>
  <c r="F2" i="27"/>
  <c r="E2" i="27"/>
  <c r="D2" i="27"/>
  <c r="C2" i="27"/>
  <c r="P37" i="27" l="1"/>
  <c r="J2" i="27" l="1"/>
  <c r="P3" i="27" l="1"/>
  <c r="P1" i="27"/>
  <c r="P2" i="27" l="1"/>
  <c r="P4" i="26"/>
  <c r="P3" i="26" l="1"/>
  <c r="J2" i="26"/>
  <c r="P1" i="26"/>
  <c r="P2" i="26" l="1"/>
  <c r="P1" i="25"/>
  <c r="P3" i="25" l="1"/>
  <c r="N6" i="25"/>
  <c r="N4" i="25"/>
  <c r="P4" i="25"/>
  <c r="K2" i="25"/>
  <c r="I2" i="25"/>
  <c r="P2" i="25" l="1"/>
  <c r="P3" i="24"/>
  <c r="K2" i="24" l="1"/>
  <c r="I2" i="24"/>
  <c r="P2" i="24" l="1"/>
  <c r="P1" i="24"/>
  <c r="N3" i="24"/>
  <c r="P11" i="20" l="1"/>
  <c r="H2" i="20" l="1"/>
  <c r="T2" i="20" l="1"/>
  <c r="T3" i="20" l="1"/>
  <c r="T1" i="20"/>
</calcChain>
</file>

<file path=xl/sharedStrings.xml><?xml version="1.0" encoding="utf-8"?>
<sst xmlns="http://schemas.openxmlformats.org/spreadsheetml/2006/main" count="1218" uniqueCount="745">
  <si>
    <t>weekdays</t>
  </si>
  <si>
    <t>hours studied</t>
  </si>
  <si>
    <t>sollu calls</t>
  </si>
  <si>
    <t>total hours studied</t>
  </si>
  <si>
    <t>kitchen/house work</t>
  </si>
  <si>
    <t>wasted/mobile/TV/sollu calls</t>
  </si>
  <si>
    <r>
      <t xml:space="preserve">Tips:- 
1) I should see  Saturday /Sunday as opportunity for learning
we should wakeup early and be more strict on Sunday and utilize holidays
2) don’t talk lontalk talk long any call from 9-12
</t>
    </r>
    <r>
      <rPr>
        <b/>
        <u/>
        <sz val="13"/>
        <color theme="3"/>
        <rFont val="Calibri"/>
        <family val="2"/>
        <scheme val="minor"/>
      </rPr>
      <t>And dont touch cell phone from 9 AM- dont see any video till next day</t>
    </r>
    <r>
      <rPr>
        <b/>
        <sz val="13"/>
        <color theme="3"/>
        <rFont val="Calibri"/>
        <family val="2"/>
        <scheme val="minor"/>
      </rPr>
      <t xml:space="preserve">
3) shutdown after 930 towake up by 530 see orange sun
4) prepare ganji &amp; eat dinner during meetings scrum calls
5) dont watch movie every sunday, max 1 movie per month not 1 per weekend</t>
    </r>
  </si>
  <si>
    <t>misc-unavoidable</t>
  </si>
  <si>
    <t xml:space="preserve">misc-avoidable
</t>
  </si>
  <si>
    <t>un-avoidable spent hours</t>
  </si>
  <si>
    <t>wasted /  avoidable  hours</t>
  </si>
  <si>
    <t>current month wastage</t>
  </si>
  <si>
    <t>over time spent with friends  - mohan</t>
  </si>
  <si>
    <t>not having plan for tomm</t>
  </si>
  <si>
    <t>over useless sleep &gt; 8hrs</t>
  </si>
  <si>
    <t>seeing useless videos in youtube after 9AM*2</t>
  </si>
  <si>
    <t>over BCB sleep*3, over sleep*3</t>
  </si>
  <si>
    <t>read with gemini</t>
  </si>
  <si>
    <t>Eating food with wife * wasting while watching TV *2</t>
  </si>
  <si>
    <t>sollu calls with everyone*4</t>
  </si>
  <si>
    <t>stop watching tv</t>
  </si>
  <si>
    <t>react js lesson num</t>
  </si>
  <si>
    <t xml:space="preserve"> mins of react sub syll completed</t>
  </si>
  <si>
    <t>reading new &gt; 40 mins</t>
  </si>
  <si>
    <t>1-extra sleep,1-sollu calls,1.5 -aha videos,1-house work,excel sheet preparation,0.5-tcs work</t>
  </si>
  <si>
    <t>movies</t>
  </si>
  <si>
    <t>hours</t>
  </si>
  <si>
    <t>didn’t wakeup by 5:45/extra sleep</t>
  </si>
  <si>
    <t>khashayms</t>
  </si>
  <si>
    <t>0.5-videos</t>
  </si>
  <si>
    <t>prev month wastage</t>
  </si>
  <si>
    <t>4,5</t>
  </si>
  <si>
    <t>6 half</t>
  </si>
  <si>
    <t>0.5-extra sleep,1.5 house work,0.5-khashayam,2-bike svc</t>
  </si>
  <si>
    <t>misc</t>
  </si>
  <si>
    <t>1-don’t know wasted,2-sollu,1-shoppping,1-tv</t>
  </si>
  <si>
    <t>6,7</t>
  </si>
  <si>
    <t>8,9,10</t>
  </si>
  <si>
    <t xml:space="preserve">Target -react js jan1-jan 30- complete 20/30 hours syllabus
</t>
  </si>
  <si>
    <t>current month wastage reasons</t>
  </si>
  <si>
    <t>5-mohan rad calls, 1-misc wasted</t>
  </si>
  <si>
    <t>1.5- internet</t>
  </si>
  <si>
    <t xml:space="preserve">0.5 shopping, 1- charan help,1.5- mohan,2.5-break,2-shopping </t>
  </si>
  <si>
    <t>0.5-shopping yoga mat mamayya,1.5-tcs work</t>
  </si>
  <si>
    <t>tcs work</t>
  </si>
  <si>
    <t>11,12,13</t>
  </si>
  <si>
    <t>4hrs tcs work , interviews,1-tv,</t>
  </si>
  <si>
    <t>wasted</t>
  </si>
  <si>
    <t>1.5-sollu calls with bava(late wokeup),2-mohan call,0.5 kitchen</t>
  </si>
  <si>
    <t>bcb</t>
  </si>
  <si>
    <t>movie- gamechanger 2.5+1.5,1.5- bcb ,1-kitchen,1-movie status,0.5 extra lunch
3-helm</t>
  </si>
  <si>
    <t>fnds home visit</t>
  </si>
  <si>
    <t>1-exra sleep,1-youtube,2-mohan,1- house work,2-tv,2- dish wash liq</t>
  </si>
  <si>
    <t>solution</t>
  </si>
  <si>
    <t>don’t watch/youtube tv for 10 days</t>
  </si>
  <si>
    <t>till jan 22</t>
  </si>
  <si>
    <t>shame</t>
  </si>
  <si>
    <t>shame on me jan 12- planned for 8 hrs- studied 2.5 hrs</t>
  </si>
  <si>
    <t>1-kitchen,0.5sheets,2-groc shoping,0.5-youtube,0.5 calls-moh,nis</t>
  </si>
  <si>
    <t>once u start reading for 2hrs don’t watch/deviate anything</t>
  </si>
  <si>
    <t>sankranthi festival</t>
  </si>
  <si>
    <t>1-extra sleep,0.5-kitchen</t>
  </si>
  <si>
    <t>just browsing</t>
  </si>
  <si>
    <t>0.5-browsing,,1-bcb,1.5-house work, RO 3.5-helm,1-react,1-halwa</t>
  </si>
  <si>
    <t>dropping santu</t>
  </si>
  <si>
    <t>0.5-drop,1-helm,0.5-kitchen,0.5-late wokeup,0.5-soll calls,2-helm,0.5 youtube</t>
  </si>
  <si>
    <t>prac</t>
  </si>
  <si>
    <t>movies-gamechanger, sankranth</t>
  </si>
  <si>
    <t xml:space="preserve">2-BCB,4-movie,0.5-misc,1.5-extra sleep due to 4aM wokeup,0.5 khashayms,2.75 kitchen,0.25-tv, </t>
  </si>
  <si>
    <t>shopping/veg buying/Dmart groc</t>
  </si>
  <si>
    <t>15,16,17</t>
  </si>
  <si>
    <t>kitchen help/spent in kitche/soaking/sweet prep</t>
  </si>
  <si>
    <t>0.5-extra sleep,2-khshsyms,2-dmart groc,1-kitchen,1-sweet rep,0.5 calls,0.5 youtube</t>
  </si>
  <si>
    <t>19,20,21</t>
  </si>
  <si>
    <t>22,23</t>
  </si>
  <si>
    <t>0.5-pooja late,1-extra sleep,0.25 sollu calls,.05- house work ten,1-kitch,1-house cleaning</t>
  </si>
  <si>
    <t>practice</t>
  </si>
  <si>
    <t>2-sollu calls,1-tcs work,practiced react -2.5 hrs</t>
  </si>
  <si>
    <t>fully office work</t>
  </si>
  <si>
    <t>ofc</t>
  </si>
  <si>
    <t>0.5-veg shop</t>
  </si>
  <si>
    <t>24,25,26</t>
  </si>
  <si>
    <t>0.5-youtube</t>
  </si>
  <si>
    <t>don’t eat food with wife</t>
  </si>
  <si>
    <t>open mobile only once per day</t>
  </si>
  <si>
    <t>1.5-tv,youtube,2-veera help,2-hair cut,3.5- calls buli, swamy,sailu,kavya,0.5-brow,1-shopping,0.5-kitchen</t>
  </si>
  <si>
    <t>Rules</t>
  </si>
  <si>
    <t>Always replace a bad habbit with good habbit</t>
  </si>
  <si>
    <t>you can open while preparing ganji and washing vessels</t>
  </si>
  <si>
    <t>house work/house cleaning</t>
  </si>
  <si>
    <t>youtube, tv,mobile</t>
  </si>
  <si>
    <t>reading preg books</t>
  </si>
  <si>
    <t>1.5-sleep,0.75-sollu calls,1-books download,1-house cleaning,1-kitchen,1-mobile,1.5-book,0.5-youtube,1-santu stomach pain</t>
  </si>
  <si>
    <t xml:space="preserve">
extra sleep/health related 
</t>
  </si>
  <si>
    <t>health issues- hickup, motions, santu stomach pain</t>
  </si>
  <si>
    <t>1) with in 2 hours - you should complete daily activites - sun 20, yoga 50, bath20, tiffin 20,  pooja 20 mins
2)  soaking 15, bring water- 15 mins - will not be counted
so this 2.5 hour will not be counted below
3) stopped khashayms for santu as per doctor
4) news 30, eve sun will not be counted henceforth</t>
  </si>
  <si>
    <t>Best time pass</t>
  </si>
  <si>
    <t>Read books on fib</t>
  </si>
  <si>
    <t>see dance songs and practice dance</t>
  </si>
  <si>
    <t>Mobile/ TV/youtube rules</t>
  </si>
  <si>
    <t>28,29,30</t>
  </si>
  <si>
    <t>31,32</t>
  </si>
  <si>
    <t>1.5-sleep,1-hiccups,motions,0.5-videos,0.5-browsing</t>
  </si>
  <si>
    <t>2-kitchen,cleaning,1-tcs work,1-bike</t>
  </si>
  <si>
    <t>teaching bike</t>
  </si>
  <si>
    <t>2-kitchen,</t>
  </si>
  <si>
    <t>0.5-calls,0.5 kitchen,1-tcs int for amer</t>
  </si>
  <si>
    <t>1.5-extra sleep,0.75-videos,0.75- house work</t>
  </si>
  <si>
    <t>or listen songs and learn the lyrics and memorise them</t>
  </si>
  <si>
    <t>day</t>
  </si>
  <si>
    <t>wasted hours</t>
  </si>
  <si>
    <t>calls</t>
  </si>
  <si>
    <t>youtube/TV</t>
  </si>
  <si>
    <t xml:space="preserve">
extra sleep
</t>
  </si>
  <si>
    <t>2-kitchen dosa</t>
  </si>
  <si>
    <t>studied hours</t>
  </si>
  <si>
    <t>wasted-avoidable</t>
  </si>
  <si>
    <t>wasted-un avoidable</t>
  </si>
  <si>
    <t>just wasted / time pas</t>
  </si>
  <si>
    <t>1.5-fnds meet,0.5 kitchen, interview, 2.5 calls with babai</t>
  </si>
  <si>
    <t>target</t>
  </si>
  <si>
    <t>https://www.youtube.com/watch?v=KSLeXFe28LE</t>
  </si>
  <si>
    <t>1-shopping stand wash ,interview</t>
  </si>
  <si>
    <t>interview prep</t>
  </si>
  <si>
    <t>interview prep,1.5- movie after interview</t>
  </si>
  <si>
    <t>1.25-mom,sree1-tv,2-kitchen-leafy veg</t>
  </si>
  <si>
    <t>hib 
mins</t>
  </si>
  <si>
    <t>AWS mins</t>
  </si>
  <si>
    <t>not started</t>
  </si>
  <si>
    <t>time table</t>
  </si>
  <si>
    <t>AM</t>
  </si>
  <si>
    <t>6-7</t>
  </si>
  <si>
    <t>subject</t>
  </si>
  <si>
    <t>hibernate</t>
  </si>
  <si>
    <t>aws</t>
  </si>
  <si>
    <t>11-1</t>
  </si>
  <si>
    <t>soaking</t>
  </si>
  <si>
    <t>1-sree ,0.5 temple</t>
  </si>
  <si>
    <t>stopped react, started aws, hib,2.5- tcs,0.5-laddu prep</t>
  </si>
  <si>
    <t>today full hib practice</t>
  </si>
  <si>
    <t>1-cc closure,1-Tv bec of santu- sec 8-hib</t>
  </si>
  <si>
    <t>dropping santu-2</t>
  </si>
  <si>
    <t>bcb*2</t>
  </si>
  <si>
    <t>1-mohan lic calls,1-bcb</t>
  </si>
  <si>
    <t>hib les num</t>
  </si>
  <si>
    <t>s4</t>
  </si>
  <si>
    <t>s5</t>
  </si>
  <si>
    <t>s6</t>
  </si>
  <si>
    <t>7,8</t>
  </si>
  <si>
    <t>9,10,11</t>
  </si>
  <si>
    <t>s12</t>
  </si>
  <si>
    <t>restrict youtube for 20 mins per day, 1-youtube naga chait
2- veg,dmart shoppin,0.5 santu drop,1- mf analysis</t>
  </si>
  <si>
    <t>mf analysis</t>
  </si>
  <si>
    <t>house work/house cleaning- clothes</t>
  </si>
  <si>
    <t>full practice,backpain rest-0.5</t>
  </si>
  <si>
    <t>815-915</t>
  </si>
  <si>
    <t>daily act</t>
  </si>
  <si>
    <t xml:space="preserve">915-930 </t>
  </si>
  <si>
    <t>930-11</t>
  </si>
  <si>
    <t>gradle</t>
  </si>
  <si>
    <t>12-10 exhibition,circus with relatives</t>
  </si>
  <si>
    <t>entertainment -circus,exhibition</t>
  </si>
  <si>
    <t>1.5-mohan,attayya,2- fibroids books,5-laila movie,0.5 money</t>
  </si>
  <si>
    <t>3.5-karate,1.5 han sis gift</t>
  </si>
  <si>
    <t>1.5-shopping han gift,1-uber mail</t>
  </si>
  <si>
    <t>youtube, tv,mobile*11</t>
  </si>
  <si>
    <t>friends meet,marriage -aswin,shopping</t>
  </si>
  <si>
    <t xml:space="preserve">1.5-sleep due to pass,1-takal,money,1-sree,swamy </t>
  </si>
  <si>
    <t>punctuality related- Be always punctual,</t>
  </si>
  <si>
    <t>main mistakes</t>
  </si>
  <si>
    <t xml:space="preserve">3) eat before 8:30 -cook by 8 </t>
  </si>
  <si>
    <t>2) seeing over media-youtube/TV</t>
  </si>
  <si>
    <t>0.5-aha show-unstoppable*2 bec morning unable to wake up</t>
  </si>
  <si>
    <t>1) not closing youtube/system by 9:45</t>
  </si>
  <si>
    <t>sheet prep</t>
  </si>
  <si>
    <t>1-BCB,1-money calc,0.5-preg book</t>
  </si>
  <si>
    <t>went to marriage anusha marriage</t>
  </si>
  <si>
    <t>3-sleep due to travel</t>
  </si>
  <si>
    <t>2.5-sleep due to dogs bark,2.5-shopping pads amazon</t>
  </si>
  <si>
    <t>online/offline shopping/veg buying/Dmart groc</t>
  </si>
  <si>
    <t>misc/just wasted</t>
  </si>
  <si>
    <t>Total wastage</t>
  </si>
  <si>
    <t>0.75-just wasted,0.5 no internet,1.5-Dish wash liquid</t>
  </si>
  <si>
    <t>kitchen help/spent in kitche/soaking/sweet prep,dish wash li</t>
  </si>
  <si>
    <t>reading preg books,fibroids websites0.25</t>
  </si>
  <si>
    <t>Main problems</t>
  </si>
  <si>
    <t>1) unable to study continously - house works are disturbing always</t>
  </si>
  <si>
    <t xml:space="preserve">Target -hib,mvn
</t>
  </si>
  <si>
    <t>0.25-tcs work,1.5-sweet prep</t>
  </si>
  <si>
    <t>s13</t>
  </si>
  <si>
    <t>s14</t>
  </si>
  <si>
    <t>s15,prac</t>
  </si>
  <si>
    <t>friends meet-mohan</t>
  </si>
  <si>
    <t>10-mohan house warming10-730</t>
  </si>
  <si>
    <t>1.5-stomach pain due to sweet- so no sleep,2-tcs work,1-veera call</t>
  </si>
  <si>
    <t>sheet prep/money calc</t>
  </si>
  <si>
    <t>kitchen&amp;house work</t>
  </si>
  <si>
    <t>online/offline shopping other than house tasks</t>
  </si>
  <si>
    <t>1-ofc work</t>
  </si>
  <si>
    <t>2-BCB</t>
  </si>
  <si>
    <t>details -redcolor- rule violated</t>
  </si>
  <si>
    <t>Dinner timings-30 min-- Eating 20 min, dishwashing -10min (keep timer before eating)</t>
  </si>
  <si>
    <t>10 % read</t>
  </si>
  <si>
    <t>20% hear</t>
  </si>
  <si>
    <t>30% see</t>
  </si>
  <si>
    <t>80% practice</t>
  </si>
  <si>
    <t>we retain</t>
  </si>
  <si>
    <t>house work/house cleaning- clothes/groc/Dmart/veg shoping</t>
  </si>
  <si>
    <t>sleep due to mohan house ,1.5-money cal,1.5- Biryani kitchen help,1.5-house work,0.5kunda,2-nani movie saripoda sanivaram ,0.5-sunnuda</t>
  </si>
  <si>
    <t>s16</t>
  </si>
  <si>
    <t>s15 prac</t>
  </si>
  <si>
    <t>s16 prac</t>
  </si>
  <si>
    <t>0.5-veg shop, 0.75-house work,kunda,0.25-tablets</t>
  </si>
  <si>
    <t xml:space="preserve">Target -hib,mvn, AWS
</t>
  </si>
  <si>
    <t>s17</t>
  </si>
  <si>
    <t>s17 prac</t>
  </si>
  <si>
    <t>3-movie-thandel,4-hospital scan,2-dmart</t>
  </si>
  <si>
    <t>s18</t>
  </si>
  <si>
    <t>studied 
hours</t>
  </si>
  <si>
    <t>Total wasted hours</t>
  </si>
  <si>
    <t>daily 0.25</t>
  </si>
  <si>
    <t>1-rakshasudu movie ,amrutham episode,0.5-pillow amazon,1-fibroids book,1-fib discussion</t>
  </si>
  <si>
    <t>reading preg boks,discusin with atha for fib,websites 2.25,hosp-4</t>
  </si>
  <si>
    <t>6-630,7-730</t>
  </si>
  <si>
    <t>930-130</t>
  </si>
  <si>
    <t>news some where</t>
  </si>
  <si>
    <t>we can study daily 4-5 hours</t>
  </si>
  <si>
    <t>book</t>
  </si>
  <si>
    <t>1-dosa poyadam,aws, tried a lot but still unable to study</t>
  </si>
  <si>
    <t>1-kitchen help as she did yoga</t>
  </si>
  <si>
    <t>book-1.5</t>
  </si>
  <si>
    <t>1-tatkal train ticket</t>
  </si>
  <si>
    <t>misc works</t>
  </si>
  <si>
    <t>went to guldur for grand father</t>
  </si>
  <si>
    <t>in vijayawada for hospital</t>
  </si>
  <si>
    <t>studied EJB in chirala</t>
  </si>
  <si>
    <t>in chirala ataya house</t>
  </si>
  <si>
    <t>relaxed after journey</t>
  </si>
  <si>
    <t>1-santu relatives</t>
  </si>
  <si>
    <t>priority</t>
  </si>
  <si>
    <t>data power</t>
  </si>
  <si>
    <t>design patterns</t>
  </si>
  <si>
    <t>java 8 comp future</t>
  </si>
  <si>
    <t>ejb</t>
  </si>
  <si>
    <t>apache CXF,SOAP</t>
  </si>
  <si>
    <t>1245-130 hosp</t>
  </si>
  <si>
    <t xml:space="preserve">1-drop santu- I should have woke up early ,1-sunnundalu, </t>
  </si>
  <si>
    <t>office work</t>
  </si>
  <si>
    <t>hospital ayurveda</t>
  </si>
  <si>
    <t>relatives meet</t>
  </si>
  <si>
    <t>1-cleaning,2.5- kitchen help as bindu pinni came,4-pinni ,2-fib book</t>
  </si>
  <si>
    <t>2.5-mohan house soll calls- he told me stop talking with radhika abt issue</t>
  </si>
  <si>
    <t>0.5-dmart,0.5-temple,0.5-drop,2.5- mohan calls</t>
  </si>
  <si>
    <t>3-radhika calls</t>
  </si>
  <si>
    <t>2) Seeing over media-youtube/TV &amp; eating with santu*8
Eating along with santu is the biggest timewaste either keep alarm and watch or don’t eat with her</t>
  </si>
  <si>
    <t>ofc work, 0.5- tv with santu</t>
  </si>
  <si>
    <t>kitchen help kc- help for lunch as she did yoga</t>
  </si>
  <si>
    <t xml:space="preserve">
daily min 2.5 gone- 1-yoga, 1-ready, 0.5-soaking,water
1) with in 2 hours - you should complete daily activites - sun 20, yoga 50, bath20, tiffin 20,  pooja 20 mins
2)  soaking 15, bring water- 15 mins - will not be counted
so this 2.5 hour will not be counted below
3) stopped khashayms for santu as per doctor
4) news 30, eve sun will not be counted henceforth</t>
  </si>
  <si>
    <t>kc,0.5-uf filter new shopping</t>
  </si>
  <si>
    <t>3) eat before 8 -else u will wake up by 4am leads to extra sleep</t>
  </si>
  <si>
    <t>1) not closing system by 950-waking up late,santu also lately waking up, no cabs after 930- finally I am dropping her *1 - shutdown all media by 945- else aa videole kalaloki vachi late ga nidrapothavu</t>
  </si>
  <si>
    <t>eat before 8 - so that u wont wakeup for toilet midnight</t>
  </si>
  <si>
    <t>saw over tv due to santohsi</t>
  </si>
  <si>
    <t xml:space="preserve">Always prepare the plan what to read
</t>
  </si>
  <si>
    <t xml:space="preserve">2) jeevitham lo bagu padalante - oka niyamam undali- </t>
  </si>
  <si>
    <t xml:space="preserve">weekend Tips:- 
1) I should see  Saturday /Sunday as opportunity for learning
we should wakeup early and be more strict on Sunday and utilize holidays/atleast treat them as working days
2) goto temple 9:30 AM every sat and sunday to habitute to a schedule &amp; to make myself wokeup 
</t>
  </si>
  <si>
    <t>preg book-2.5,movie- mad</t>
  </si>
  <si>
    <t>youtube
TV/movies</t>
  </si>
  <si>
    <t>youtube, tv,mobile*11
movies-saripoda sat,mad,dragon</t>
  </si>
  <si>
    <t>Monthly rules</t>
  </si>
  <si>
    <t xml:space="preserve">4) totally slept 10 hours extra- because not eating in time </t>
  </si>
  <si>
    <t>1.5-mohan, bullipinni</t>
  </si>
  <si>
    <t>Column1</t>
  </si>
  <si>
    <t xml:space="preserve">6-630 </t>
  </si>
  <si>
    <t>sun</t>
  </si>
  <si>
    <t>730-930</t>
  </si>
  <si>
    <t>930-1</t>
  </si>
  <si>
    <t>Column2</t>
  </si>
  <si>
    <t>630-730</t>
  </si>
  <si>
    <t>1-2 news,lunch,travel</t>
  </si>
  <si>
    <t>sheet</t>
  </si>
  <si>
    <t>friends -munny parcel</t>
  </si>
  <si>
    <t>ofc work</t>
  </si>
  <si>
    <t>cant study due to ofc work</t>
  </si>
  <si>
    <t>9-munny parcel</t>
  </si>
  <si>
    <t>2-hosp,1-dosa,1-temple,1.5-filter repair,1-filter shopping</t>
  </si>
  <si>
    <t>kitchen shopping(RO)</t>
  </si>
  <si>
    <t>ofc extra work</t>
  </si>
  <si>
    <t>1-hosp,0.5- house clean</t>
  </si>
  <si>
    <t>1.5-kitchen help as she is in ayurveda treatment</t>
  </si>
  <si>
    <t>2-(1-sunnunda,1- kitchen),1-hosp</t>
  </si>
  <si>
    <t>5-shopping 2, seeing hotels for bza hotel,2-shopping</t>
  </si>
  <si>
    <t xml:space="preserve">misc-temple-1,filter rep-1.5,ticket book 0.5,net1 </t>
  </si>
  <si>
    <t>0.5-net</t>
  </si>
  <si>
    <t>0.5-net,0.25- extra lunch,SOAP-3</t>
  </si>
  <si>
    <t xml:space="preserve">house work-dry clothes </t>
  </si>
  <si>
    <t>today only came home from tiny marriage</t>
  </si>
  <si>
    <t>in kavali,gudlur for rd cancellation- ofc leave</t>
  </si>
  <si>
    <t>tiny marriage</t>
  </si>
  <si>
    <t>Relatives meet, tinny marriage</t>
  </si>
  <si>
    <t>santu drop</t>
  </si>
  <si>
    <t xml:space="preserve">2-630 </t>
  </si>
  <si>
    <t>630-715</t>
  </si>
  <si>
    <t>travel</t>
  </si>
  <si>
    <t>715-745</t>
  </si>
  <si>
    <t>dinner</t>
  </si>
  <si>
    <t>745-10</t>
  </si>
  <si>
    <t>work</t>
  </si>
  <si>
    <t>1-santu drop,2-ofc reading the root cause</t>
  </si>
  <si>
    <t>house shopping-shopping with wife3,kent rep0.5</t>
  </si>
  <si>
    <t>0.5- seeing postrd,0.5-kent repair</t>
  </si>
  <si>
    <t>current main mistakes</t>
  </si>
  <si>
    <t>2) doing more ofc work extra</t>
  </si>
  <si>
    <t xml:space="preserve">misc-avoid
able
</t>
  </si>
  <si>
    <t>maven mins</t>
  </si>
  <si>
    <t>soap
mins</t>
  </si>
  <si>
    <t>0.5-extra work lead tp 1.5 sleep- so counted 1.5 under extra work
maven- practice, soap-revised prev</t>
  </si>
  <si>
    <t xml:space="preserve">1) not closing system by 950-waking up late,santu also lately waking up, no cabs after 930
- finally I am dropping her </t>
  </si>
  <si>
    <t>movies-court, masoodha</t>
  </si>
  <si>
    <t>1-khashayam,1-sleep BCB,1.5 kitchen-clean rums, bathrom clean</t>
  </si>
  <si>
    <t>2) major problem is late wokeup</t>
  </si>
  <si>
    <t>santu hosp-ayurveda treatment,blood test(3)</t>
  </si>
  <si>
    <t>1.5-santu blood test,1.5-sleep due to bcb</t>
  </si>
  <si>
    <t>extra sleep due to BCB</t>
  </si>
  <si>
    <t>1-santu hosp rel talk with atha,mvn-56 Lesson</t>
  </si>
  <si>
    <t>kitchen help -dish wash,curry prep,sweets0.5</t>
  </si>
  <si>
    <t>0.5-veg shopping</t>
  </si>
  <si>
    <t>details</t>
  </si>
  <si>
    <t>youtube
TV/
movies</t>
  </si>
  <si>
    <t>2-BCB sleep,policy bazar -0.5,0.5-anjana</t>
  </si>
  <si>
    <t>extra ofc work</t>
  </si>
  <si>
    <t>house shopping</t>
  </si>
  <si>
    <t>1-mom call wasted,3-lekkalu,1-aha ssh video,1.5-dmart</t>
  </si>
  <si>
    <t>my personal-khashayam</t>
  </si>
  <si>
    <t>1-sollu caburlu with sai,1.5-sleep,1.5- santu tv,1-sweets,1-jagan flight call</t>
  </si>
  <si>
    <t>1-santu drop,1- my khashayams,0.75- puneeth law enq,movie-sarang,1-sai talks, 3-ofc mandatory trainings-studied till sec 103</t>
  </si>
  <si>
    <t>mvn-sec 105,practice (sec 10 done),0.5-k,0.5-house help,1-sleep</t>
  </si>
  <si>
    <t>house work-dry clothes ,mob</t>
  </si>
  <si>
    <t>1-night extra work so extra sleep, mvn-108</t>
  </si>
  <si>
    <t>1) Open TV/youtube only once in a day - don’t open in lunch/dinner time as it is consuming more time (dinner -max15 mins)
 2) per day max youtube/TV is 20 minutes even on weekends-1st keep alarm and then see,
note- if u already saw a movie on previous day don’t see on next day to compensate</t>
  </si>
  <si>
    <t>1-mohan,sreenath,pradeep call,mvn-110</t>
  </si>
  <si>
    <t>1- youtube reg pahalgam attack,mvn-112 done- major prac for integ test</t>
  </si>
  <si>
    <t>no</t>
  </si>
  <si>
    <t>1-youtube pahlagam atack,1-sleep,0.775- money</t>
  </si>
  <si>
    <t>sollu
calls</t>
  </si>
  <si>
    <t>1-didn’t noted,1.5-pappu,doselu,soaking,2-lap repair</t>
  </si>
  <si>
    <t>5-jack,subham movie,1-calls with jal, attayya,0.75--DWL</t>
  </si>
  <si>
    <t>1) shutdown all media-TV/Youtube/WORK by 9:45PM even friday Saturday and sunday
 (if u don’t close by9:45PM then u will wokeup late morning 1.5 hr gone)</t>
  </si>
  <si>
    <t>745-945</t>
  </si>
  <si>
    <t>pooja</t>
  </si>
  <si>
    <t>dustbin</t>
  </si>
  <si>
    <t>bath</t>
  </si>
  <si>
    <t>tifffin</t>
  </si>
  <si>
    <t>dish wash</t>
  </si>
  <si>
    <t>total-max</t>
  </si>
  <si>
    <t>1-sleep,mvn-prac mvn plugin- faced build issues with java 8 &amp; 17,sec-113</t>
  </si>
  <si>
    <t>money related cal,mf investments</t>
  </si>
  <si>
    <t>2.5-extra sleep,1- mf ,mvn- 118,prac,calls- lal,han,gururaj for inter,core java,ofc leave</t>
  </si>
  <si>
    <t>veg/house shopping-dmart 1.5</t>
  </si>
  <si>
    <t>kitchen
/house work</t>
  </si>
  <si>
    <t>0.3-sheet prep,2-core java</t>
  </si>
  <si>
    <t>1-es-due to drumstick,1-drop santu,0.75- misc</t>
  </si>
  <si>
    <t xml:space="preserve">6-645 </t>
  </si>
  <si>
    <t>sun,help</t>
  </si>
  <si>
    <t>645-730</t>
  </si>
  <si>
    <t>worst case 3.5 we should study</t>
  </si>
  <si>
    <t>730-10</t>
  </si>
  <si>
    <t>dust,bath,tiffin,</t>
  </si>
  <si>
    <t>dishwash,pooja, soaking</t>
  </si>
  <si>
    <t>0.5-SLEEP,1-hr gnut fry, aws-1 read prev docs</t>
  </si>
  <si>
    <t>movies-sarang,titanic,subham,jack,chava</t>
  </si>
  <si>
    <t>1.75- calls with pradeep, anjana waste calls,1.5- chava movie</t>
  </si>
  <si>
    <t>misc home talks</t>
  </si>
  <si>
    <t>1.5-calls-mohan,jag,swa,mom,aws-s4.17,0.75- house clean,1.5-sleep,0.5- meegada</t>
  </si>
  <si>
    <t>morning finish tiffin before 9,9-930 dishwash, soaking</t>
  </si>
  <si>
    <t xml:space="preserve"> internet browsing</t>
  </si>
  <si>
    <t>0.5BCB,0.5-browsing, java 21- virtual threads-IDE problem</t>
  </si>
  <si>
    <t>travel(nlr pedayya)</t>
  </si>
  <si>
    <t>misc-net-0.5,puneeth law enquiry,sollu ,laptop</t>
  </si>
  <si>
    <t>1.5- nlr ticket booking,0.5-mf,soap xml</t>
  </si>
  <si>
    <t>aws, soap, SSL,maven</t>
  </si>
  <si>
    <t>fever</t>
  </si>
  <si>
    <t>health pro-fever to me &amp; santu</t>
  </si>
  <si>
    <t>santhoshi fever</t>
  </si>
  <si>
    <t>Relatives meet- predayya death,charan solly</t>
  </si>
  <si>
    <t>fever ,1-charan waste,2-plastic movie</t>
  </si>
  <si>
    <t>1-extra sleep</t>
  </si>
  <si>
    <t>khashayams</t>
  </si>
  <si>
    <t>930--1</t>
  </si>
  <si>
    <t>Don’t eat food with santu- she always starts a movie- I will just continue</t>
  </si>
  <si>
    <t>1.5-extra sleep,aws- 37-40 prac</t>
  </si>
  <si>
    <t>0.5-hosp</t>
  </si>
  <si>
    <t>Every target must have a dead line</t>
  </si>
  <si>
    <t>major 20 hours time wasted due to 1 spoon of sweet== 103.5 fever of mine &amp; wife
1) doing BCB 2) eating with santu &amp; seeing tv  3) finish dinner @ 7:30- late dinner --&gt; night wake up - extra sleep 4) over munakayalu- night leak- wakeup- extra sleep</t>
  </si>
  <si>
    <t>aws-45,movie- mission impossible,soap-128</t>
  </si>
  <si>
    <t>movies- mi 4.5</t>
  </si>
  <si>
    <t>extra sleep due to BCB-3.5, normal sleep 9.5</t>
  </si>
  <si>
    <t>1.5-plastic movie, soap practice,ssl new lesson, books,1-santu drop</t>
  </si>
  <si>
    <t>sun,kha</t>
  </si>
  <si>
    <t>930--1230</t>
  </si>
  <si>
    <t>1230-130 news,lunch,travel</t>
  </si>
  <si>
    <t xml:space="preserve">130-630 </t>
  </si>
  <si>
    <t>travel,diner</t>
  </si>
  <si>
    <t>sleep</t>
  </si>
  <si>
    <t>1.5-sleep,0.5-khashayams,1-calls-mom,lal</t>
  </si>
  <si>
    <t>files, soap -135</t>
  </si>
  <si>
    <t>1-kit-meegada,veg help,2-khashayms,0.5-sweets prep</t>
  </si>
  <si>
    <t>2-travel</t>
  </si>
  <si>
    <t>2-travel extra sleep ,4- santu drop to cherl new stn</t>
  </si>
  <si>
    <t>travel ,chirala train cancel-8</t>
  </si>
  <si>
    <t>hospital</t>
  </si>
  <si>
    <t>kims consultatio*2-900+750</t>
  </si>
  <si>
    <t>injection</t>
  </si>
  <si>
    <t>tvs pelvic 2nd time</t>
  </si>
  <si>
    <t>apollo cradle</t>
  </si>
  <si>
    <t>medicover</t>
  </si>
  <si>
    <t>tvs usg-3rd time</t>
  </si>
  <si>
    <t>apollo ufe</t>
  </si>
  <si>
    <t>mri film</t>
  </si>
  <si>
    <t>padmaja hosp kvz</t>
  </si>
  <si>
    <t>citi vasc</t>
  </si>
  <si>
    <t>preg aarthi blood tests</t>
  </si>
  <si>
    <t>medicine</t>
  </si>
  <si>
    <t>1. early preg apollo scan</t>
  </si>
  <si>
    <t>apollo sudh 2nd con for preg detection</t>
  </si>
  <si>
    <t>preg scan hegde</t>
  </si>
  <si>
    <t>preg blood tests hegde</t>
  </si>
  <si>
    <t>santu</t>
  </si>
  <si>
    <t>dr sudha mad apollo</t>
  </si>
  <si>
    <t>pradhyumna</t>
  </si>
  <si>
    <t>kandukur op</t>
  </si>
  <si>
    <t>blood test after abortion aarthi</t>
  </si>
  <si>
    <t>mama extra test</t>
  </si>
  <si>
    <t>b hcg test</t>
  </si>
  <si>
    <t>b hcg thyroid</t>
  </si>
  <si>
    <t>4.Beta hcg</t>
  </si>
  <si>
    <t>apolo consultation</t>
  </si>
  <si>
    <t>ogl-nages</t>
  </si>
  <si>
    <t>ogl-nagesw</t>
  </si>
  <si>
    <t xml:space="preserve">injection </t>
  </si>
  <si>
    <t>bhcg</t>
  </si>
  <si>
    <t>op-hos-ayur bza</t>
  </si>
  <si>
    <t>ayur tablet</t>
  </si>
  <si>
    <t>USG scan</t>
  </si>
  <si>
    <t>op ayur</t>
  </si>
  <si>
    <t>med</t>
  </si>
  <si>
    <t>rub scan</t>
  </si>
  <si>
    <t>medici-1606,135</t>
  </si>
  <si>
    <t>hosp cons</t>
  </si>
  <si>
    <t>medi -ayur</t>
  </si>
  <si>
    <t>medicines</t>
  </si>
  <si>
    <t>chopchinyadi</t>
  </si>
  <si>
    <t>ayurveda treatment</t>
  </si>
  <si>
    <t>medicines-neyyi</t>
  </si>
  <si>
    <t>op bza gayatri hosp</t>
  </si>
  <si>
    <t>op kotakal</t>
  </si>
  <si>
    <t>ayur hosp treatment</t>
  </si>
  <si>
    <t>1-ayur medicines</t>
  </si>
  <si>
    <t>2-ayur medicine</t>
  </si>
  <si>
    <t>1-ayur basti treatment</t>
  </si>
  <si>
    <t>rubella</t>
  </si>
  <si>
    <t>2-basti treatment</t>
  </si>
  <si>
    <t>amount</t>
  </si>
  <si>
    <t>santu drop-ofc-1, rly stn-4</t>
  </si>
  <si>
    <t>1.25- mohan0.75,mom,kitchen work-2,house work -1,sweets-1.25</t>
  </si>
  <si>
    <t>BCB</t>
  </si>
  <si>
    <t>mohan hosp-3</t>
  </si>
  <si>
    <t>1-BCB sleep, mohan hosp-3</t>
  </si>
  <si>
    <t>4-sowmya,mohan</t>
  </si>
  <si>
    <t>un avoidable</t>
  </si>
  <si>
    <t>1-mohan ,1-mf,0.5-bellam dan,1-anj,mom,sree</t>
  </si>
  <si>
    <t>fever-2.5</t>
  </si>
  <si>
    <t>details- when I didn’t follow rules- color will be red</t>
  </si>
  <si>
    <t>0.5-browsing, 1- house wo-pot broke</t>
  </si>
  <si>
    <t>misc home talks,bike svc</t>
  </si>
  <si>
    <t>6-630,630-730</t>
  </si>
  <si>
    <t>house work-dry clothes ,mob,  house clean 2, pot break</t>
  </si>
  <si>
    <t>0.5-santu pain,1-charan resume</t>
  </si>
  <si>
    <t>1-kitchen work,house work</t>
  </si>
  <si>
    <t>misc-net- dairy 0.5, charan resume 1</t>
  </si>
  <si>
    <t>2-movie hinanna,1- mohan</t>
  </si>
  <si>
    <t>1- house shopping,1-movie ante sundariniki,0.5- BCB,4-soap prac error</t>
  </si>
  <si>
    <t>veg/house shopping-dmart,flipkart</t>
  </si>
  <si>
    <t>2-flip, 0.5-sai health burn</t>
  </si>
  <si>
    <t>1- mohan son shopping,1-khashayms</t>
  </si>
  <si>
    <t>2-ofc work,0.5-dish wash,0.75- mohan gift</t>
  </si>
  <si>
    <t>kitchen help -dish wash1.5 curry prep ,sweets-2.25</t>
  </si>
  <si>
    <t>0.5- reports check</t>
  </si>
  <si>
    <t>health, fever 2.5, sai hot water burn,reports check 0.5,santu hosp 0.5</t>
  </si>
  <si>
    <t>7-BCB thinking about will preg comes?</t>
  </si>
  <si>
    <t>friends meet,mohan 7-sick,sowmya 4, moh gift 2,fun 2</t>
  </si>
  <si>
    <t>1.5-extra sleep,aws- 37-40 prac,2- mohan son bday, 2.5-BCB analysis</t>
  </si>
  <si>
    <t>BCB-2 days, chat gpt search thinking</t>
  </si>
  <si>
    <t xml:space="preserve">movies </t>
  </si>
  <si>
    <t>1.5-kitchen - meegada</t>
  </si>
  <si>
    <t>sum</t>
  </si>
  <si>
    <t>1-manoj calls</t>
  </si>
  <si>
    <t>4-mohan radhika issue</t>
  </si>
  <si>
    <t>1- mohan radhika,1.5-tcs trainings</t>
  </si>
  <si>
    <t>2-sleep night heat discharge</t>
  </si>
  <si>
    <t>friends meet -mohan son b-2,relatives meet -10</t>
  </si>
  <si>
    <t>4-mohan radhika issue,5- sailu visited my home</t>
  </si>
  <si>
    <t>3- moh rad calls effects, 5-kims cancer awareness program, 5- went to kavya house</t>
  </si>
  <si>
    <t>travel ,mom kasi travel analyse</t>
  </si>
  <si>
    <t>my personal-khashayam,temple 0.5</t>
  </si>
  <si>
    <t>1- mom kasi travel tick, 1-kitchen - fruits, lemon</t>
  </si>
  <si>
    <t>3-mohan rad calls work imblance ofc</t>
  </si>
  <si>
    <t>misc-net- sheet,dairy 0.5</t>
  </si>
  <si>
    <t>1.5- sleep leak, read json 0.5- house mob</t>
  </si>
  <si>
    <t>movie- 4.5 obhama,2.5-preg book,1.5-hosp blood test</t>
  </si>
  <si>
    <t>3-kitchen-karepaku</t>
  </si>
  <si>
    <t>restful</t>
  </si>
  <si>
    <t>0.75- house clean, clothes</t>
  </si>
  <si>
    <t>1.5-mohan,movie- kubera</t>
  </si>
  <si>
    <t>health- cancer aware 5,blood test,hosp scan 0.5, hosp 1, read insu 3</t>
  </si>
  <si>
    <t>1.5-movie mazaka, 1-gynic videos, 3- read full insurance</t>
  </si>
  <si>
    <t>0.5-thinking abt mist</t>
  </si>
  <si>
    <t xml:space="preserve">misc </t>
  </si>
  <si>
    <t>kitchen help -dish wash, curry prep ,sweets 1,meegada</t>
  </si>
  <si>
    <t>preg book - videos</t>
  </si>
  <si>
    <t>note- see preg shipi videos while at kitchen</t>
  </si>
  <si>
    <t>house work-dry clothes ,mob 1.5</t>
  </si>
  <si>
    <t>busy in hosp didn’t study</t>
  </si>
  <si>
    <t>myomectomy operation</t>
  </si>
  <si>
    <t>mri scan aarthi- ofc leave</t>
  </si>
  <si>
    <t>visited kims hosp for operation consultation</t>
  </si>
  <si>
    <t>health- hosp 4</t>
  </si>
  <si>
    <t>misc -infosys interview</t>
  </si>
  <si>
    <t>4-hosp, movie- hari hara veera mallu</t>
  </si>
  <si>
    <t>interview help</t>
  </si>
  <si>
    <t>2- groc buying</t>
  </si>
  <si>
    <t>3-kitchen help, veg buying, 2.5 mom health screening</t>
  </si>
  <si>
    <t>heavy rain 3hrs spent in traffic</t>
  </si>
  <si>
    <t>1.5- ofc work, bank post-2</t>
  </si>
  <si>
    <t>wasted due to santu mom thinks abt financial hos amounts</t>
  </si>
  <si>
    <t>2.5- chair repair</t>
  </si>
  <si>
    <t xml:space="preserve">0.5-extra sun, 1.5 calls with jagan </t>
  </si>
  <si>
    <t>utilized ofc hours</t>
  </si>
  <si>
    <t>1-sai, mom calls,sun</t>
  </si>
  <si>
    <t xml:space="preserve">temple,pooja vinayak </t>
  </si>
  <si>
    <t>kitchen help -dish wash, curry prep ,sweets 2,meegada</t>
  </si>
  <si>
    <t xml:space="preserve">over sleep -beyond 8 hours </t>
  </si>
  <si>
    <t>1.5- lekkalu</t>
  </si>
  <si>
    <t>house work-dry clothes ,mob 1.5,house shoping</t>
  </si>
  <si>
    <t>money related -lekalu 1.5,mf talks with padmaja 0.75,gold verify 1.5</t>
  </si>
  <si>
    <t>1.5-gold huid verify,0.5-mf,1-house shopping</t>
  </si>
  <si>
    <t>veg/house shopping , amazon organic dal 1</t>
  </si>
  <si>
    <t>pure waste - santu mom thinking 3, chit chat 1.5</t>
  </si>
  <si>
    <t>misc-net- sheet,dairy 0.5, chair rep,extra sun 0.5,inspire 0.75</t>
  </si>
  <si>
    <t>pooja,temple</t>
  </si>
  <si>
    <t>1.5- 3bhk movie,1- veg shopping1 - financial,cc</t>
  </si>
  <si>
    <t>veg shopping -1, house related items shop in amazon 2.25</t>
  </si>
  <si>
    <t>amazon shop-2.25, 0.5 khash,0.5- break</t>
  </si>
  <si>
    <t>6-630,630-7</t>
  </si>
  <si>
    <t>news</t>
  </si>
  <si>
    <t>7-930</t>
  </si>
  <si>
    <t>worst case 3 we should study</t>
  </si>
  <si>
    <t>misc dog disturbances 0.5 ,sheet0.5</t>
  </si>
  <si>
    <t>don’t make pudina khashayam (do once in a month)</t>
  </si>
  <si>
    <t>post ofc 0.5, khashayam-1, kitchen help-1.5</t>
  </si>
  <si>
    <t>7-spr ai, sales force,1.5- anj toy</t>
  </si>
  <si>
    <t>misc avoid- anj toy</t>
  </si>
  <si>
    <t>3- sleep due to back pain, calls with santhosh</t>
  </si>
  <si>
    <t>3.5-abids post offc,0.5chatiu reg financial</t>
  </si>
  <si>
    <t>1-extra sleep due to munaky</t>
  </si>
  <si>
    <t>1-BCB</t>
  </si>
  <si>
    <t>sleep for 8 hours- if less also don’t wakeup just sleep and close ur eyes- today I wokeup after 7hrs and again slept as eyes dry</t>
  </si>
  <si>
    <t>santu study help</t>
  </si>
  <si>
    <t>4-hosp, 1-itr</t>
  </si>
  <si>
    <t>0.75- jagan</t>
  </si>
  <si>
    <t>2-calls with sailu, ataya, mom, sai, 5-backpain</t>
  </si>
  <si>
    <t>kitchen help,water,juice</t>
  </si>
  <si>
    <t>0.5-over sun,0.5-back pain,1-calls with uday,only ofc work</t>
  </si>
  <si>
    <t>1.5- sleep due to pas, 1.5- mom silver,mine withdrawn,3.5- santu hosp</t>
  </si>
  <si>
    <t>used ofc hours details</t>
  </si>
  <si>
    <t>1.252 khashayams,bellam, pure ofc work</t>
  </si>
  <si>
    <t>1-extra work,1-calls-mom, jyothi aunty</t>
  </si>
  <si>
    <t>6- extra ofc work</t>
  </si>
  <si>
    <t>personal work -knee pads 0.5,temple 0.5,aswin house</t>
  </si>
  <si>
    <t>7.5- aswin house, 2- calls about USA trump new rule</t>
  </si>
  <si>
    <t xml:space="preserve">monitor sopping </t>
  </si>
  <si>
    <t>3- monitor shoping</t>
  </si>
  <si>
    <t>1-cold, 1-ofc work</t>
  </si>
  <si>
    <t>extra news</t>
  </si>
  <si>
    <t>money related -cc 0.5,gold 3.25,mf 2.5, post ofc 4,itr1</t>
  </si>
  <si>
    <t>movies- mirae,ghati</t>
  </si>
  <si>
    <t>3-fever sleep,2.75- money gold loan,1- cable shopping</t>
  </si>
  <si>
    <t>extra work tcs 0.5 ,ofc work 10</t>
  </si>
  <si>
    <t>pure time waste-1.5  ,over sun 0.5 ,break 1,extra sun 0.75</t>
  </si>
  <si>
    <t>1.5 my hosp blood test</t>
  </si>
  <si>
    <t>1.5 hosp PVG</t>
  </si>
  <si>
    <t>hosp related  -scan 4 , my backpain hosp3,santu hosp 3.5,fever 3</t>
  </si>
  <si>
    <t>,ofc work 0.5</t>
  </si>
  <si>
    <t xml:space="preserve">hosp related  </t>
  </si>
  <si>
    <t>general shopping</t>
  </si>
  <si>
    <t>0.5-ofc work, 0.75-clothes shopping</t>
  </si>
  <si>
    <t>don’t make pudina khashayam (do only once in a month)</t>
  </si>
  <si>
    <t>9- hours added for daily soaking- daily 20 mins + tiffin prep</t>
  </si>
  <si>
    <t>daily soaking -0.25 (20 min- morning 10,even 10)</t>
  </si>
  <si>
    <t>1- pooja dasara shopping,1.5- pure time waste</t>
  </si>
  <si>
    <t>7-730</t>
  </si>
  <si>
    <t>dust,bath</t>
  </si>
  <si>
    <t xml:space="preserve">730-8 </t>
  </si>
  <si>
    <t>pooja, temp</t>
  </si>
  <si>
    <t xml:space="preserve">8-830 </t>
  </si>
  <si>
    <t>tiffin</t>
  </si>
  <si>
    <t xml:space="preserve">830-9 </t>
  </si>
  <si>
    <t>news, soaking</t>
  </si>
  <si>
    <t>9-12:10</t>
  </si>
  <si>
    <t>study</t>
  </si>
  <si>
    <t>0.75- veera sollu calls,0.5 BCB,3-santu resume</t>
  </si>
  <si>
    <t>1-veg shopping</t>
  </si>
  <si>
    <t>movies- OG,JUNIOR</t>
  </si>
  <si>
    <t>0.5-bathroom cleaning</t>
  </si>
  <si>
    <t>yoga</t>
  </si>
  <si>
    <t>3-cxf json data binding</t>
  </si>
  <si>
    <t>santu train ticket</t>
  </si>
  <si>
    <t>1-train ticket,1.5- mf</t>
  </si>
  <si>
    <t>sleep due to cold tablet</t>
  </si>
  <si>
    <t>khashayams,my khsshayams 1.5</t>
  </si>
  <si>
    <t>4.5-BCB,2.5 misc</t>
  </si>
  <si>
    <t>Food related -keep always 20 mins timer during tiffin,lunch , dinner and eat,rem 10 mins dish wash</t>
  </si>
  <si>
    <t>never bring raw ground nut, to open half kg it will take 30 min- full time waste</t>
  </si>
  <si>
    <t>2.5- sleep due to kalalu,0.5-tube light</t>
  </si>
  <si>
    <t>santu study help 0.5,resume 3,train ticket -5</t>
  </si>
  <si>
    <t>pure time waste-2.5  ,BCB 11</t>
  </si>
  <si>
    <t>3-mf calculation</t>
  </si>
  <si>
    <t xml:space="preserve">4-BCB, 1- financial talks,1.5- movie trailers, kitch-2.5 </t>
  </si>
  <si>
    <t>kitchen help,water,juice, santu diwali kitchen 5</t>
  </si>
  <si>
    <t>kitchne-2.5</t>
  </si>
  <si>
    <t>santu bday gift</t>
  </si>
  <si>
    <t>1- movie</t>
  </si>
  <si>
    <t>personal work -  sheet 1,santu resume 3,extra news 2,sheet 0.5</t>
  </si>
  <si>
    <t>veg shopping -1.5, house related shopping 4.5,house work 2,water 0.5</t>
  </si>
  <si>
    <t>money related  -mf  13.5, financial mom ,etf 1.5,post</t>
  </si>
  <si>
    <t>k-ramp-movie</t>
  </si>
  <si>
    <t>santu gift anniversary</t>
  </si>
  <si>
    <t>khashsyams</t>
  </si>
  <si>
    <t>2.5-santu gift print shoppy</t>
  </si>
  <si>
    <t>kitchen help</t>
  </si>
  <si>
    <t>over khashayam</t>
  </si>
  <si>
    <t>kitchen help max-15 mins</t>
  </si>
  <si>
    <t>dish wash -15 mins</t>
  </si>
  <si>
    <t>soaking -mrng +even -30mins</t>
  </si>
  <si>
    <t>khashayams -30 mins</t>
  </si>
  <si>
    <t>1-sollu calls with mom, charan</t>
  </si>
  <si>
    <t>soaking- mixi for dosa</t>
  </si>
  <si>
    <t>don’t make pudina khashayam (do once in a month)- already did in this month on  nov 6
don’t talk with charan - waste of giving suggestions to him, he didn’t apply infosys, deloitte</t>
  </si>
  <si>
    <t>5- oil 5 hours</t>
  </si>
  <si>
    <t xml:space="preserve">1) stop mobile &amp;stop all works@ 9:00AM &amp;keep cell away from 9:30-12:30 &amp;  don’t talk lontalk talk long any call from 930-12 
2)  once reading starts then No deviation for  2 hours -means we should not use mobile,youtube
(if u get bored see amazon/ only 1 song in youtube- dont open full youtube)
 no google search of  topics other than subject </t>
  </si>
  <si>
    <t>pooja, yoga</t>
  </si>
  <si>
    <t>Media</t>
  </si>
  <si>
    <t xml:space="preserve">dialy kitchen work should be max 1 hour- (khashayam-0.5, antlu-soakin 0.5)
</t>
  </si>
  <si>
    <t xml:space="preserve">monthly max 1 movie in ott </t>
  </si>
  <si>
    <t>sales force admin</t>
  </si>
  <si>
    <t>apex</t>
  </si>
  <si>
    <t>1.5- bday outing</t>
  </si>
  <si>
    <t>2.75- anniv calls</t>
  </si>
  <si>
    <t>bike svc</t>
  </si>
  <si>
    <t>tour plan</t>
  </si>
  <si>
    <t>1- bike service,3- tour plan</t>
  </si>
  <si>
    <t>1- varanasi youtube, 0.75- sollu calls with atayy</t>
  </si>
  <si>
    <t>financial</t>
  </si>
  <si>
    <t>2.5-temple,1-decided salesforce</t>
  </si>
  <si>
    <t>train tickets</t>
  </si>
  <si>
    <t xml:space="preserve">my health issue </t>
  </si>
  <si>
    <t>0.5- health tummulu,0.75- train book</t>
  </si>
  <si>
    <t>house work-clean,water,geyser rep,water</t>
  </si>
  <si>
    <t>fnds meet</t>
  </si>
  <si>
    <t>1-mahabaratham, 1-mysore videos ,1-attaya call</t>
  </si>
  <si>
    <t>pure time waste</t>
  </si>
  <si>
    <t>movies-6-agatha, bakasura,chiranjeeva,varansi,game changer</t>
  </si>
  <si>
    <t>house shoping- oil -5,dmart-1,2</t>
  </si>
  <si>
    <t>bday outing, charan outing</t>
  </si>
  <si>
    <t>1.5-movie- game changer,2- sound light show charan</t>
  </si>
  <si>
    <t>pooja,</t>
  </si>
  <si>
    <t>9-12:30</t>
  </si>
  <si>
    <t>1230-130 lunch,travel</t>
  </si>
  <si>
    <t>0.5-train ticket booking,3-soql,3- tcs training</t>
  </si>
  <si>
    <t>1-financial</t>
  </si>
  <si>
    <t xml:space="preserve">max 3 times postponement/procastination- after that no postponement - we must do </t>
  </si>
  <si>
    <t>daily soaking,dish wash , tiffin 20+10</t>
  </si>
  <si>
    <t>till vd-92</t>
  </si>
  <si>
    <t>1-health insurance</t>
  </si>
  <si>
    <t>wasted sleep</t>
  </si>
  <si>
    <t>2- later dinner, early wokeup for pass so extra sleep</t>
  </si>
  <si>
    <t>tcs training, tcs interview</t>
  </si>
  <si>
    <t>8-tcs interview</t>
  </si>
  <si>
    <t>1- youtube, 4- movie -amara kavyam</t>
  </si>
  <si>
    <t>movies- amara kavyam,magarayudu</t>
  </si>
  <si>
    <t>kitchen help, sunnudalu-1</t>
  </si>
  <si>
    <t>2- movie- magarayduu,1-kitchen help leafy, 1- sweet,2- you water video</t>
  </si>
  <si>
    <t>3-apex practice</t>
  </si>
  <si>
    <t>utilized ofc hours for study + means I utilized, - means I lost</t>
  </si>
  <si>
    <t>0.5- sai train booking</t>
  </si>
  <si>
    <t>0.75- twitter,0.5cell clean,4.5- sf plugin</t>
  </si>
  <si>
    <t>0.75- borugadda youtube anil videos</t>
  </si>
  <si>
    <t>2-movie- mirae,1- tour hotel booking</t>
  </si>
  <si>
    <t>travel- tick booking 0.5, tour 6</t>
  </si>
  <si>
    <t>lakshmi atha house  seeing</t>
  </si>
  <si>
    <t>5- rames tour plan, 3- lakshmi atha house seeing</t>
  </si>
  <si>
    <t>hair cut</t>
  </si>
  <si>
    <t xml:space="preserve">syllabus comp in mins </t>
  </si>
  <si>
    <t>2-bcb ,1- hair cut,sf -159-164</t>
  </si>
  <si>
    <t>1.5-sleep due to cold prasadam</t>
  </si>
  <si>
    <t>gokarna tour</t>
  </si>
  <si>
    <t>tour- train,hotel cancel 3,sai train, gokarna 38</t>
  </si>
  <si>
    <t>gokarna tour,1-naukari</t>
  </si>
  <si>
    <t>2-sleep due to nuvvula noone</t>
  </si>
  <si>
    <t>1-calls with jagan,1.75- financial</t>
  </si>
  <si>
    <t>admin</t>
  </si>
  <si>
    <t>lwc</t>
  </si>
  <si>
    <t>rest</t>
  </si>
  <si>
    <t>total pending hours 
as on dec 25</t>
  </si>
  <si>
    <t>dog disturbance sleep</t>
  </si>
  <si>
    <t>30 mins per day</t>
  </si>
  <si>
    <t>150 days</t>
  </si>
  <si>
    <t>45 mins per day</t>
  </si>
  <si>
    <t>120 days</t>
  </si>
  <si>
    <t>4m</t>
  </si>
  <si>
    <t>jan-april</t>
  </si>
  <si>
    <t>5m</t>
  </si>
  <si>
    <t>jan-may</t>
  </si>
  <si>
    <t>5- dog disturbance extra sleep, 2.75- chrsitian videos</t>
  </si>
  <si>
    <t>santu naukari</t>
  </si>
  <si>
    <t>0.75-christian videos, harry potter, 3- silver, loan , 2- icici guy, 1- naukri,
 1- soll cal reg charan with sanhosh</t>
  </si>
  <si>
    <t>Saturday sleep,1.75- sollu calls with han, sailu reg charan,lwc 26-33, akhanda-movie</t>
  </si>
  <si>
    <t>don’t talk reg charan its time waste, ataya is hurting- dec 27</t>
  </si>
  <si>
    <t>movies- santhana praptirastu,christian videos, harry poter, akhanda1, akhanda 2, maga rayadu</t>
  </si>
  <si>
    <t>major problem is late wokeup</t>
  </si>
  <si>
    <t>tiffin,soaking</t>
  </si>
  <si>
    <t>4-movie- akhanda 2, 0.5-youtube,1- bathroom clean,calls reg charan</t>
  </si>
  <si>
    <t>a113-120</t>
  </si>
  <si>
    <t>2- calls with puneeth, prakash mama reg financial</t>
  </si>
  <si>
    <t>wasted-pure waste 0.5twitter, ghmc water 2.5</t>
  </si>
  <si>
    <t>ad69-74</t>
  </si>
  <si>
    <t>ap125</t>
  </si>
  <si>
    <t>apex 273-275, admin 69-74, 4-health insurance,0.75- temple</t>
  </si>
  <si>
    <t>ad107-109</t>
  </si>
  <si>
    <t>15 mins (0.25)*30 daily soaking, 1.4- sollu calls with mahesh,4.5-insurance</t>
  </si>
  <si>
    <t>financial, silver 3.5, icici-2, health in -8.5</t>
  </si>
  <si>
    <t>cell clean, wash repair 1.5</t>
  </si>
  <si>
    <t>house shopping 1,clean,mixi repair, house clean 2,beg shop1</t>
  </si>
  <si>
    <t>health ins,sheet 1, temple 1</t>
  </si>
  <si>
    <t>1-murali--15-nov resumed from video 24</t>
  </si>
</sst>
</file>

<file path=xl/styles.xml><?xml version="1.0" encoding="utf-8"?>
<styleSheet xmlns="http://schemas.openxmlformats.org/spreadsheetml/2006/main" xmlns:mc="http://schemas.openxmlformats.org/markup-compatibility/2006" xmlns:x14ac="http://schemas.microsoft.com/office/spreadsheetml/2009/9/ac" mc:Ignorable="x14ac">
  <fonts count="65">
    <font>
      <sz val="11"/>
      <color theme="1"/>
      <name val="Calibri"/>
      <family val="2"/>
      <scheme val="minor"/>
    </font>
    <font>
      <sz val="11"/>
      <color rgb="FF9C6500"/>
      <name val="Calibri"/>
      <family val="2"/>
      <scheme val="minor"/>
    </font>
    <font>
      <sz val="11"/>
      <color rgb="FFFF0000"/>
      <name val="Calibri"/>
      <family val="2"/>
      <scheme val="minor"/>
    </font>
    <font>
      <b/>
      <sz val="13"/>
      <color theme="3"/>
      <name val="Calibri"/>
      <family val="2"/>
      <scheme val="minor"/>
    </font>
    <font>
      <b/>
      <u/>
      <sz val="13"/>
      <color theme="3"/>
      <name val="Calibri"/>
      <family val="2"/>
      <scheme val="minor"/>
    </font>
    <font>
      <sz val="11"/>
      <color rgb="FF9C0006"/>
      <name val="Calibri"/>
      <family val="2"/>
      <scheme val="minor"/>
    </font>
    <font>
      <sz val="11"/>
      <color theme="7"/>
      <name val="Century Gothic"/>
      <family val="2"/>
    </font>
    <font>
      <sz val="11"/>
      <color theme="1"/>
      <name val="Century Gothic"/>
      <family val="2"/>
    </font>
    <font>
      <sz val="11"/>
      <color theme="9" tint="-0.499984740745262"/>
      <name val="Calibri"/>
      <family val="2"/>
      <scheme val="minor"/>
    </font>
    <font>
      <b/>
      <sz val="11"/>
      <color theme="4"/>
      <name val="Century Gothic"/>
      <family val="2"/>
    </font>
    <font>
      <sz val="11"/>
      <color theme="4"/>
      <name val="Century Gothic"/>
      <family val="2"/>
    </font>
    <font>
      <sz val="11"/>
      <color theme="4"/>
      <name val="Calibri"/>
      <family val="2"/>
      <scheme val="minor"/>
    </font>
    <font>
      <sz val="11"/>
      <color rgb="FF006100"/>
      <name val="Calibri"/>
      <family val="2"/>
      <scheme val="minor"/>
    </font>
    <font>
      <sz val="11"/>
      <color theme="1"/>
      <name val="Calibri"/>
      <family val="2"/>
      <scheme val="minor"/>
    </font>
    <font>
      <sz val="11"/>
      <color rgb="FF3F3F76"/>
      <name val="Calibri"/>
      <family val="2"/>
      <scheme val="minor"/>
    </font>
    <font>
      <i/>
      <sz val="11"/>
      <color rgb="FF7F7F7F"/>
      <name val="Calibri"/>
      <family val="2"/>
      <scheme val="minor"/>
    </font>
    <font>
      <sz val="25"/>
      <color rgb="FF9C6500"/>
      <name val="Calibri"/>
      <family val="2"/>
      <scheme val="minor"/>
    </font>
    <font>
      <sz val="11"/>
      <color theme="0"/>
      <name val="Calibri"/>
      <family val="2"/>
      <scheme val="minor"/>
    </font>
    <font>
      <sz val="11"/>
      <color theme="1"/>
      <name val="Segoe UI"/>
      <family val="2"/>
    </font>
    <font>
      <sz val="11"/>
      <color theme="7"/>
      <name val="Segoe UI"/>
      <family val="2"/>
    </font>
    <font>
      <b/>
      <sz val="11"/>
      <color theme="4"/>
      <name val="Segoe UI"/>
      <family val="2"/>
    </font>
    <font>
      <sz val="11"/>
      <color theme="4"/>
      <name val="Segoe UI"/>
      <family val="2"/>
    </font>
    <font>
      <sz val="16"/>
      <color rgb="FF9C6500"/>
      <name val="Segoe UI"/>
      <family val="2"/>
    </font>
    <font>
      <sz val="12"/>
      <color theme="1"/>
      <name val="Candara"/>
      <family val="2"/>
    </font>
    <font>
      <sz val="12"/>
      <color theme="0"/>
      <name val="Candara"/>
      <family val="2"/>
    </font>
    <font>
      <sz val="12"/>
      <color rgb="FF9C0006"/>
      <name val="Candara"/>
      <family val="2"/>
    </font>
    <font>
      <sz val="11"/>
      <color rgb="FF9C6500"/>
      <name val="Segoe UI"/>
      <family val="2"/>
    </font>
    <font>
      <u/>
      <sz val="11"/>
      <color theme="10"/>
      <name val="Calibri"/>
      <family val="2"/>
      <scheme val="minor"/>
    </font>
    <font>
      <sz val="11"/>
      <color theme="1"/>
      <name val="Segoe UI Emoji"/>
      <family val="2"/>
    </font>
    <font>
      <b/>
      <sz val="11"/>
      <color theme="9"/>
      <name val="Segoe UI"/>
      <family val="2"/>
    </font>
    <font>
      <sz val="11"/>
      <color theme="0"/>
      <name val="Comic Sans MS"/>
      <family val="4"/>
    </font>
    <font>
      <b/>
      <sz val="12"/>
      <color theme="0"/>
      <name val="Agency FB"/>
      <family val="2"/>
    </font>
    <font>
      <sz val="11"/>
      <color rgb="FFD60093"/>
      <name val="Segoe UI Emoji"/>
      <family val="2"/>
    </font>
    <font>
      <sz val="14"/>
      <color theme="0"/>
      <name val="Bahnschrift SemiBold"/>
      <family val="2"/>
    </font>
    <font>
      <sz val="14"/>
      <color theme="0"/>
      <name val="Berlin Sans FB"/>
      <family val="2"/>
    </font>
    <font>
      <b/>
      <sz val="11"/>
      <color rgb="FFFF0066"/>
      <name val="Segoe UI"/>
      <family val="2"/>
    </font>
    <font>
      <sz val="11"/>
      <color rgb="FFFF0066"/>
      <name val="Segoe UI"/>
      <family val="2"/>
    </font>
    <font>
      <sz val="12"/>
      <color rgb="FF9C6500"/>
      <name val="Segoe UI"/>
      <family val="2"/>
    </font>
    <font>
      <sz val="12"/>
      <color theme="0"/>
      <name val="Calibri"/>
      <family val="2"/>
      <scheme val="minor"/>
    </font>
    <font>
      <sz val="16"/>
      <color theme="0"/>
      <name val="Century Gothic"/>
      <family val="2"/>
    </font>
    <font>
      <sz val="11"/>
      <color theme="1"/>
      <name val="Malgun Gothic"/>
      <family val="2"/>
    </font>
    <font>
      <sz val="12"/>
      <color theme="0"/>
      <name val="Century Gothic"/>
      <family val="2"/>
    </font>
    <font>
      <b/>
      <sz val="14"/>
      <color theme="0"/>
      <name val="Calibri"/>
      <family val="2"/>
      <scheme val="minor"/>
    </font>
    <font>
      <sz val="12"/>
      <color theme="1"/>
      <name val="Candara"/>
    </font>
    <font>
      <b/>
      <sz val="12"/>
      <color theme="0"/>
      <name val="Agency FB"/>
    </font>
    <font>
      <sz val="13"/>
      <color theme="0"/>
      <name val="Calibri"/>
      <family val="2"/>
      <scheme val="minor"/>
    </font>
    <font>
      <sz val="12"/>
      <color theme="1"/>
      <name val="Calibri"/>
      <family val="2"/>
      <scheme val="minor"/>
    </font>
    <font>
      <sz val="15"/>
      <color theme="0"/>
      <name val="Calibri"/>
      <family val="2"/>
      <scheme val="minor"/>
    </font>
    <font>
      <sz val="12"/>
      <color theme="0"/>
      <name val="Calibri"/>
      <scheme val="minor"/>
    </font>
    <font>
      <sz val="11"/>
      <color theme="1"/>
      <name val="Maiandra GD"/>
      <family val="2"/>
    </font>
    <font>
      <sz val="14"/>
      <color theme="0"/>
      <name val="Calibri"/>
      <family val="2"/>
      <scheme val="minor"/>
    </font>
    <font>
      <sz val="10"/>
      <color theme="1"/>
      <name val="Arial"/>
      <family val="2"/>
    </font>
    <font>
      <b/>
      <sz val="10"/>
      <color theme="1"/>
      <name val="Comfortaa"/>
    </font>
    <font>
      <sz val="11"/>
      <color theme="1"/>
      <name val="Noto Sans"/>
    </font>
    <font>
      <sz val="12"/>
      <color theme="1"/>
      <name val="Noto Sans"/>
    </font>
    <font>
      <sz val="12"/>
      <color theme="1"/>
      <name val="Verdana"/>
      <family val="2"/>
    </font>
    <font>
      <sz val="14"/>
      <color theme="1"/>
      <name val="Comfortaa"/>
    </font>
    <font>
      <sz val="14"/>
      <color theme="1"/>
      <name val="Noto Sans"/>
    </font>
    <font>
      <sz val="14"/>
      <color theme="1"/>
      <name val="Calibri"/>
      <family val="2"/>
      <scheme val="minor"/>
    </font>
    <font>
      <sz val="14"/>
      <color rgb="FF434343"/>
      <name val="Nunito"/>
    </font>
    <font>
      <sz val="14"/>
      <color theme="1"/>
      <name val="Nunito"/>
    </font>
    <font>
      <sz val="14"/>
      <color rgb="FF7F6000"/>
      <name val="Lexend"/>
    </font>
    <font>
      <sz val="12"/>
      <color theme="1"/>
      <name val="Calibri"/>
      <scheme val="minor"/>
    </font>
    <font>
      <b/>
      <sz val="11"/>
      <color theme="0"/>
      <name val="Calibri"/>
      <family val="2"/>
      <scheme val="minor"/>
    </font>
    <font>
      <b/>
      <sz val="11"/>
      <color theme="1"/>
      <name val="Calibri"/>
      <family val="2"/>
      <scheme val="minor"/>
    </font>
  </fonts>
  <fills count="35">
    <fill>
      <patternFill patternType="none"/>
    </fill>
    <fill>
      <patternFill patternType="gray125"/>
    </fill>
    <fill>
      <patternFill patternType="solid">
        <fgColor rgb="FFFFEB9C"/>
      </patternFill>
    </fill>
    <fill>
      <patternFill patternType="solid">
        <fgColor rgb="FFFFCC99"/>
      </patternFill>
    </fill>
    <fill>
      <patternFill patternType="solid">
        <fgColor rgb="FFFFC7CE"/>
      </patternFill>
    </fill>
    <fill>
      <patternFill patternType="solid">
        <fgColor theme="9" tint="0.39997558519241921"/>
        <bgColor indexed="64"/>
      </patternFill>
    </fill>
    <fill>
      <patternFill patternType="solid">
        <fgColor theme="9" tint="0.59999389629810485"/>
        <bgColor indexed="64"/>
      </patternFill>
    </fill>
    <fill>
      <patternFill patternType="solid">
        <fgColor rgb="FFC6EFCE"/>
      </patternFill>
    </fill>
    <fill>
      <patternFill patternType="solid">
        <fgColor theme="4" tint="0.59999389629810485"/>
        <bgColor indexed="65"/>
      </patternFill>
    </fill>
    <fill>
      <patternFill patternType="solid">
        <fgColor theme="5" tint="0.39997558519241921"/>
        <bgColor indexed="65"/>
      </patternFill>
    </fill>
    <fill>
      <patternFill patternType="solid">
        <fgColor theme="7"/>
      </patternFill>
    </fill>
    <fill>
      <patternFill patternType="solid">
        <fgColor theme="8" tint="0.59999389629810485"/>
        <bgColor indexed="65"/>
      </patternFill>
    </fill>
    <fill>
      <patternFill patternType="solid">
        <fgColor theme="9" tint="0.59999389629810485"/>
        <bgColor indexed="65"/>
      </patternFill>
    </fill>
    <fill>
      <patternFill patternType="solid">
        <fgColor theme="6"/>
      </patternFill>
    </fill>
    <fill>
      <patternFill patternType="solid">
        <fgColor theme="6" tint="0.59999389629810485"/>
        <bgColor indexed="65"/>
      </patternFill>
    </fill>
    <fill>
      <patternFill patternType="solid">
        <fgColor theme="5"/>
      </patternFill>
    </fill>
    <fill>
      <patternFill patternType="solid">
        <fgColor rgb="FFFF9999"/>
        <bgColor indexed="64"/>
      </patternFill>
    </fill>
    <fill>
      <patternFill patternType="solid">
        <fgColor theme="8"/>
      </patternFill>
    </fill>
    <fill>
      <patternFill patternType="solid">
        <fgColor theme="7" tint="0.39997558519241921"/>
        <bgColor indexed="65"/>
      </patternFill>
    </fill>
    <fill>
      <patternFill patternType="solid">
        <fgColor rgb="FFFF9966"/>
        <bgColor indexed="64"/>
      </patternFill>
    </fill>
    <fill>
      <patternFill patternType="solid">
        <fgColor theme="9" tint="0.39997558519241921"/>
        <bgColor indexed="65"/>
      </patternFill>
    </fill>
    <fill>
      <patternFill patternType="solid">
        <fgColor theme="7" tint="0.59999389629810485"/>
        <bgColor indexed="65"/>
      </patternFill>
    </fill>
    <fill>
      <patternFill patternType="solid">
        <fgColor theme="7" tint="0.79998168889431442"/>
        <bgColor indexed="65"/>
      </patternFill>
    </fill>
    <fill>
      <patternFill patternType="solid">
        <fgColor rgb="FFEEF7E3"/>
        <bgColor indexed="64"/>
      </patternFill>
    </fill>
    <fill>
      <patternFill patternType="solid">
        <fgColor rgb="FFF9CB9C"/>
        <bgColor indexed="64"/>
      </patternFill>
    </fill>
    <fill>
      <patternFill patternType="solid">
        <fgColor rgb="FFFFFFFF"/>
        <bgColor indexed="64"/>
      </patternFill>
    </fill>
    <fill>
      <patternFill patternType="solid">
        <fgColor rgb="FFB7E1CD"/>
        <bgColor indexed="64"/>
      </patternFill>
    </fill>
    <fill>
      <patternFill patternType="solid">
        <fgColor rgb="FFE7F9EF"/>
        <bgColor indexed="64"/>
      </patternFill>
    </fill>
    <fill>
      <patternFill patternType="solid">
        <fgColor rgb="FFE0F7FA"/>
        <bgColor indexed="64"/>
      </patternFill>
    </fill>
    <fill>
      <patternFill patternType="solid">
        <fgColor rgb="FFFEF8E3"/>
        <bgColor indexed="64"/>
      </patternFill>
    </fill>
    <fill>
      <patternFill patternType="solid">
        <fgColor rgb="FFFFE6DD"/>
        <bgColor indexed="64"/>
      </patternFill>
    </fill>
    <fill>
      <patternFill patternType="solid">
        <fgColor rgb="FFFFFFCC"/>
      </patternFill>
    </fill>
    <fill>
      <patternFill patternType="solid">
        <fgColor rgb="FFA5A5A5"/>
      </patternFill>
    </fill>
    <fill>
      <patternFill patternType="solid">
        <fgColor theme="0"/>
        <bgColor indexed="64"/>
      </patternFill>
    </fill>
    <fill>
      <patternFill patternType="solid">
        <fgColor theme="8" tint="0.39997558519241921"/>
        <bgColor indexed="65"/>
      </patternFill>
    </fill>
  </fills>
  <borders count="38">
    <border>
      <left/>
      <right/>
      <top/>
      <bottom/>
      <diagonal/>
    </border>
    <border>
      <left style="thin">
        <color rgb="FF7F7F7F"/>
      </left>
      <right style="thin">
        <color rgb="FF7F7F7F"/>
      </right>
      <top style="thin">
        <color rgb="FF7F7F7F"/>
      </top>
      <bottom style="thin">
        <color rgb="FF7F7F7F"/>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indexed="64"/>
      </bottom>
      <diagonal/>
    </border>
    <border>
      <left/>
      <right style="thin">
        <color indexed="64"/>
      </right>
      <top style="thin">
        <color rgb="FF7F7F7F"/>
      </top>
      <bottom style="thin">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B2B2B2"/>
      </left>
      <right/>
      <top style="thin">
        <color rgb="FFB2B2B2"/>
      </top>
      <bottom style="thin">
        <color rgb="FFB2B2B2"/>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dotted">
        <color theme="7" tint="-0.249977111117893"/>
      </left>
      <right style="dotted">
        <color theme="7" tint="-0.249977111117893"/>
      </right>
      <top style="thin">
        <color indexed="64"/>
      </top>
      <bottom style="thin">
        <color indexed="64"/>
      </bottom>
      <diagonal/>
    </border>
    <border>
      <left style="dotted">
        <color theme="7" tint="-0.249977111117893"/>
      </left>
      <right style="thin">
        <color indexed="64"/>
      </right>
      <top style="thin">
        <color indexed="64"/>
      </top>
      <bottom style="dotted">
        <color theme="7" tint="-0.249977111117893"/>
      </bottom>
      <diagonal/>
    </border>
    <border>
      <left style="medium">
        <color rgb="FFCCCCCC"/>
      </left>
      <right style="medium">
        <color rgb="FFCCCCCC"/>
      </right>
      <top style="medium">
        <color rgb="FFCCCCCC"/>
      </top>
      <bottom style="medium">
        <color rgb="FFCCCCCC"/>
      </bottom>
      <diagonal/>
    </border>
    <border>
      <left/>
      <right/>
      <top style="dotted">
        <color theme="7" tint="-0.249977111117893"/>
      </top>
      <bottom style="thin">
        <color indexed="64"/>
      </bottom>
      <diagonal/>
    </border>
    <border>
      <left/>
      <right/>
      <top style="thin">
        <color indexed="64"/>
      </top>
      <bottom style="dotted">
        <color theme="7" tint="-0.249977111117893"/>
      </bottom>
      <diagonal/>
    </border>
    <border>
      <left style="thin">
        <color indexed="64"/>
      </left>
      <right/>
      <top style="thin">
        <color indexed="64"/>
      </top>
      <bottom style="dotted">
        <color theme="7" tint="-0.249977111117893"/>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right style="thin">
        <color indexed="64"/>
      </right>
      <top/>
      <bottom/>
      <diagonal/>
    </border>
    <border>
      <left style="thin">
        <color indexed="64"/>
      </left>
      <right style="thin">
        <color indexed="64"/>
      </right>
      <top/>
      <bottom/>
      <diagonal/>
    </border>
    <border>
      <left/>
      <right/>
      <top style="thin">
        <color theme="4"/>
      </top>
      <bottom style="double">
        <color theme="4"/>
      </bottom>
      <diagonal/>
    </border>
  </borders>
  <cellStyleXfs count="25">
    <xf numFmtId="0" fontId="0" fillId="0" borderId="0"/>
    <xf numFmtId="0" fontId="1" fillId="2" borderId="0" applyNumberFormat="0" applyBorder="0" applyAlignment="0" applyProtection="0"/>
    <xf numFmtId="0" fontId="3" fillId="0" borderId="2" applyNumberFormat="0" applyFill="0" applyAlignment="0" applyProtection="0"/>
    <xf numFmtId="0" fontId="5" fillId="4" borderId="0" applyNumberFormat="0" applyBorder="0" applyAlignment="0" applyProtection="0"/>
    <xf numFmtId="0" fontId="12" fillId="7" borderId="0" applyNumberFormat="0" applyBorder="0" applyAlignment="0" applyProtection="0"/>
    <xf numFmtId="0" fontId="14" fillId="3" borderId="1" applyNumberFormat="0" applyAlignment="0" applyProtection="0"/>
    <xf numFmtId="0" fontId="15" fillId="0" borderId="0" applyNumberFormat="0" applyFill="0" applyBorder="0" applyAlignment="0" applyProtection="0"/>
    <xf numFmtId="0" fontId="13"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7" fillId="13" borderId="0" applyNumberFormat="0" applyBorder="0" applyAlignment="0" applyProtection="0"/>
    <xf numFmtId="0" fontId="27" fillId="0" borderId="0" applyNumberFormat="0" applyFill="0" applyBorder="0" applyAlignment="0" applyProtection="0"/>
    <xf numFmtId="0" fontId="13" fillId="14" borderId="0" applyNumberFormat="0" applyBorder="0" applyAlignment="0" applyProtection="0"/>
    <xf numFmtId="0" fontId="17" fillId="15"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31" borderId="8" applyNumberFormat="0" applyFont="0" applyAlignment="0" applyProtection="0"/>
    <xf numFmtId="0" fontId="63" fillId="32" borderId="15" applyNumberFormat="0" applyAlignment="0" applyProtection="0"/>
    <xf numFmtId="0" fontId="17" fillId="34" borderId="0" applyNumberFormat="0" applyBorder="0" applyAlignment="0" applyProtection="0"/>
    <xf numFmtId="0" fontId="64" fillId="0" borderId="37" applyNumberFormat="0" applyFill="0" applyAlignment="0" applyProtection="0"/>
  </cellStyleXfs>
  <cellXfs count="413">
    <xf numFmtId="0" fontId="0" fillId="0" borderId="0" xfId="0"/>
    <xf numFmtId="0" fontId="0" fillId="0" borderId="0" xfId="0" applyAlignment="1">
      <alignment wrapText="1"/>
    </xf>
    <xf numFmtId="16" fontId="0" fillId="0" borderId="0" xfId="0" applyNumberFormat="1"/>
    <xf numFmtId="0" fontId="2" fillId="0" borderId="0" xfId="0" applyFont="1" applyAlignment="1">
      <alignment wrapText="1"/>
    </xf>
    <xf numFmtId="0" fontId="2" fillId="0" borderId="0" xfId="0" applyFont="1"/>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Font="1" applyAlignment="1">
      <alignment wrapText="1"/>
    </xf>
    <xf numFmtId="0" fontId="0" fillId="0" borderId="0" xfId="0" applyFill="1" applyBorder="1" applyAlignment="1">
      <alignment vertical="top" wrapText="1"/>
    </xf>
    <xf numFmtId="0" fontId="6" fillId="0" borderId="0" xfId="0" applyFont="1" applyAlignment="1">
      <alignment wrapText="1"/>
    </xf>
    <xf numFmtId="0" fontId="7" fillId="5" borderId="3" xfId="0" applyFont="1" applyFill="1" applyBorder="1" applyAlignment="1">
      <alignment wrapText="1"/>
    </xf>
    <xf numFmtId="0" fontId="7" fillId="0" borderId="0" xfId="0" applyFont="1" applyAlignment="1">
      <alignment vertical="top" wrapText="1"/>
    </xf>
    <xf numFmtId="0" fontId="8" fillId="0" borderId="0" xfId="0" applyFont="1" applyAlignment="1">
      <alignment wrapText="1"/>
    </xf>
    <xf numFmtId="0" fontId="8" fillId="0" borderId="0" xfId="0" applyFont="1"/>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wrapText="1"/>
    </xf>
    <xf numFmtId="0" fontId="11" fillId="0" borderId="0" xfId="0" applyFont="1"/>
    <xf numFmtId="0" fontId="0" fillId="0" borderId="0" xfId="0"/>
    <xf numFmtId="3" fontId="0" fillId="0" borderId="0" xfId="0" applyNumberFormat="1"/>
    <xf numFmtId="0" fontId="12" fillId="7" borderId="0" xfId="4" applyAlignment="1">
      <alignment horizontal="center" wrapText="1"/>
    </xf>
    <xf numFmtId="0" fontId="0" fillId="0" borderId="0" xfId="0"/>
    <xf numFmtId="0" fontId="16" fillId="2" borderId="8" xfId="1" applyFont="1" applyBorder="1" applyAlignment="1">
      <alignment horizontal="center" vertical="center" wrapText="1"/>
    </xf>
    <xf numFmtId="0" fontId="15" fillId="0" borderId="0" xfId="6" applyAlignment="1">
      <alignment vertical="top" wrapText="1"/>
    </xf>
    <xf numFmtId="0" fontId="14" fillId="3" borderId="1" xfId="5"/>
    <xf numFmtId="0" fontId="5" fillId="6" borderId="4" xfId="3" applyFill="1" applyBorder="1" applyAlignment="1">
      <alignment vertical="center"/>
    </xf>
    <xf numFmtId="0" fontId="5" fillId="6" borderId="5" xfId="3" applyFill="1" applyBorder="1" applyAlignment="1">
      <alignment vertical="center"/>
    </xf>
    <xf numFmtId="0" fontId="5" fillId="6" borderId="6" xfId="3" applyFill="1" applyBorder="1" applyAlignment="1">
      <alignment vertical="center"/>
    </xf>
    <xf numFmtId="0" fontId="0" fillId="0" borderId="0" xfId="0" applyFill="1" applyBorder="1" applyAlignment="1">
      <alignment wrapText="1"/>
    </xf>
    <xf numFmtId="0" fontId="1" fillId="2" borderId="0" xfId="1" applyAlignment="1">
      <alignment vertical="center"/>
    </xf>
    <xf numFmtId="0" fontId="2" fillId="0" borderId="0" xfId="0" applyFont="1" applyFill="1" applyBorder="1" applyAlignment="1">
      <alignment wrapText="1"/>
    </xf>
    <xf numFmtId="0" fontId="2" fillId="0" borderId="0" xfId="0" applyFont="1" applyFill="1" applyBorder="1"/>
    <xf numFmtId="0" fontId="0" fillId="0" borderId="0" xfId="0"/>
    <xf numFmtId="0" fontId="0" fillId="0" borderId="0" xfId="0" applyAlignment="1">
      <alignment horizontal="center"/>
    </xf>
    <xf numFmtId="0" fontId="0" fillId="0" borderId="0" xfId="0"/>
    <xf numFmtId="0" fontId="0" fillId="0" borderId="0" xfId="0" applyFill="1" applyBorder="1" applyAlignment="1">
      <alignment horizontal="center"/>
    </xf>
    <xf numFmtId="0" fontId="18" fillId="0" borderId="0" xfId="0" applyFont="1" applyAlignment="1">
      <alignment wrapText="1"/>
    </xf>
    <xf numFmtId="0" fontId="19" fillId="0" borderId="0" xfId="0" applyFont="1" applyAlignment="1">
      <alignment wrapText="1"/>
    </xf>
    <xf numFmtId="0" fontId="18" fillId="5" borderId="3" xfId="0" applyFont="1" applyFill="1" applyBorder="1" applyAlignment="1">
      <alignment wrapText="1"/>
    </xf>
    <xf numFmtId="0" fontId="21" fillId="0" borderId="0" xfId="0" applyFont="1" applyAlignment="1">
      <alignment vertical="top" wrapText="1"/>
    </xf>
    <xf numFmtId="0" fontId="18" fillId="0" borderId="0" xfId="0" applyFont="1" applyAlignment="1">
      <alignment vertical="top" wrapText="1"/>
    </xf>
    <xf numFmtId="0" fontId="22" fillId="2" borderId="8" xfId="1" applyFont="1" applyBorder="1" applyAlignment="1">
      <alignment horizontal="center" vertical="top" wrapText="1"/>
    </xf>
    <xf numFmtId="0" fontId="18" fillId="0" borderId="0" xfId="0" applyFont="1"/>
    <xf numFmtId="16" fontId="18" fillId="0" borderId="0" xfId="0" applyNumberFormat="1" applyFont="1"/>
    <xf numFmtId="0" fontId="20" fillId="0" borderId="0" xfId="0" applyFont="1" applyAlignment="1">
      <alignment horizontal="center" wrapText="1"/>
    </xf>
    <xf numFmtId="0" fontId="23" fillId="0" borderId="3" xfId="0" applyFont="1" applyFill="1" applyBorder="1" applyAlignment="1">
      <alignment horizontal="center"/>
    </xf>
    <xf numFmtId="0" fontId="0" fillId="0" borderId="0" xfId="0" applyAlignment="1">
      <alignment horizontal="right"/>
    </xf>
    <xf numFmtId="0" fontId="0" fillId="0" borderId="0" xfId="0"/>
    <xf numFmtId="0" fontId="18" fillId="0" borderId="0" xfId="0" applyFont="1" applyFill="1" applyBorder="1"/>
    <xf numFmtId="49" fontId="0" fillId="0" borderId="0" xfId="0" applyNumberFormat="1"/>
    <xf numFmtId="0" fontId="29" fillId="0" borderId="0" xfId="0" applyFont="1"/>
    <xf numFmtId="0" fontId="0" fillId="0" borderId="0" xfId="0"/>
    <xf numFmtId="0" fontId="30" fillId="13" borderId="0" xfId="12" applyFont="1"/>
    <xf numFmtId="0" fontId="23" fillId="0" borderId="0" xfId="0" applyFont="1" applyBorder="1" applyAlignment="1">
      <alignment horizontal="center"/>
    </xf>
    <xf numFmtId="0" fontId="23" fillId="11" borderId="3" xfId="10" applyFont="1" applyBorder="1" applyAlignment="1">
      <alignment horizontal="center" vertical="center"/>
    </xf>
    <xf numFmtId="0" fontId="23" fillId="0" borderId="0" xfId="0" applyFont="1" applyAlignment="1">
      <alignment horizontal="center"/>
    </xf>
    <xf numFmtId="0" fontId="25" fillId="0" borderId="3" xfId="3" applyFont="1" applyFill="1" applyBorder="1" applyAlignment="1">
      <alignment horizontal="center" vertical="center"/>
    </xf>
    <xf numFmtId="0" fontId="24" fillId="0" borderId="3" xfId="9" applyFont="1" applyFill="1" applyBorder="1" applyAlignment="1">
      <alignment horizontal="center"/>
    </xf>
    <xf numFmtId="0" fontId="0" fillId="0" borderId="0" xfId="0" applyFill="1"/>
    <xf numFmtId="0" fontId="23" fillId="0" borderId="4" xfId="7" applyFont="1" applyFill="1" applyBorder="1" applyAlignment="1">
      <alignment horizontal="center"/>
    </xf>
    <xf numFmtId="0" fontId="23" fillId="0" borderId="4" xfId="0" applyFont="1" applyFill="1" applyBorder="1" applyAlignment="1">
      <alignment horizontal="center"/>
    </xf>
    <xf numFmtId="0" fontId="23" fillId="0" borderId="4" xfId="11" applyFont="1" applyFill="1" applyBorder="1" applyAlignment="1">
      <alignment horizontal="center"/>
    </xf>
    <xf numFmtId="0" fontId="23" fillId="0" borderId="4" xfId="8" applyFont="1" applyFill="1" applyBorder="1" applyAlignment="1">
      <alignment horizontal="center"/>
    </xf>
    <xf numFmtId="0" fontId="23" fillId="0" borderId="16" xfId="0" applyFont="1" applyFill="1" applyBorder="1" applyAlignment="1">
      <alignment horizontal="center" vertical="center"/>
    </xf>
    <xf numFmtId="0" fontId="23" fillId="0" borderId="4" xfId="9" applyFont="1" applyFill="1" applyBorder="1" applyAlignment="1">
      <alignment horizontal="center"/>
    </xf>
    <xf numFmtId="0" fontId="23" fillId="0" borderId="4" xfId="0" applyFont="1" applyFill="1" applyBorder="1" applyAlignment="1">
      <alignment horizontal="center" vertical="center"/>
    </xf>
    <xf numFmtId="0" fontId="23" fillId="0" borderId="4" xfId="0" applyFont="1" applyBorder="1" applyAlignment="1">
      <alignment horizontal="center"/>
    </xf>
    <xf numFmtId="0" fontId="18" fillId="0" borderId="17" xfId="0" applyFont="1" applyBorder="1" applyAlignment="1">
      <alignment horizontal="center"/>
    </xf>
    <xf numFmtId="0" fontId="17" fillId="15" borderId="3" xfId="15" applyBorder="1"/>
    <xf numFmtId="0" fontId="17" fillId="15" borderId="3" xfId="15" applyBorder="1" applyAlignment="1">
      <alignment horizontal="right"/>
    </xf>
    <xf numFmtId="0" fontId="0" fillId="0" borderId="0" xfId="0" applyAlignment="1">
      <alignment horizontal="center"/>
    </xf>
    <xf numFmtId="0" fontId="0" fillId="0" borderId="0" xfId="0"/>
    <xf numFmtId="0" fontId="0" fillId="0" borderId="0" xfId="0" applyFill="1" applyBorder="1" applyAlignment="1">
      <alignment horizontal="center"/>
    </xf>
    <xf numFmtId="0" fontId="18" fillId="0" borderId="3" xfId="0" applyFont="1" applyBorder="1"/>
    <xf numFmtId="0" fontId="18" fillId="16" borderId="3" xfId="0" applyFont="1" applyFill="1" applyBorder="1" applyAlignment="1">
      <alignment vertical="center" wrapText="1"/>
    </xf>
    <xf numFmtId="0" fontId="20" fillId="0" borderId="0" xfId="0" applyFont="1" applyAlignment="1">
      <alignment horizontal="center" vertical="center" wrapText="1"/>
    </xf>
    <xf numFmtId="0" fontId="21" fillId="0" borderId="0" xfId="0" applyFont="1" applyAlignment="1">
      <alignment vertical="center" wrapText="1"/>
    </xf>
    <xf numFmtId="0" fontId="31" fillId="10" borderId="18" xfId="9" applyFont="1" applyBorder="1" applyAlignment="1">
      <alignment horizontal="center"/>
    </xf>
    <xf numFmtId="0" fontId="31" fillId="10" borderId="3" xfId="9" applyFont="1" applyBorder="1" applyAlignment="1">
      <alignment horizontal="center"/>
    </xf>
    <xf numFmtId="0" fontId="31" fillId="10" borderId="19" xfId="9" applyFont="1" applyBorder="1" applyAlignment="1">
      <alignment horizontal="center"/>
    </xf>
    <xf numFmtId="0" fontId="32" fillId="0" borderId="0" xfId="0" applyFont="1"/>
    <xf numFmtId="0" fontId="17" fillId="10" borderId="3" xfId="9" applyBorder="1" applyAlignment="1">
      <alignment horizontal="center"/>
    </xf>
    <xf numFmtId="0" fontId="17" fillId="9" borderId="0" xfId="8"/>
    <xf numFmtId="0" fontId="0" fillId="0" borderId="0" xfId="0" applyAlignment="1"/>
    <xf numFmtId="0" fontId="35" fillId="0" borderId="0" xfId="0" applyFont="1"/>
    <xf numFmtId="0" fontId="36" fillId="0" borderId="0" xfId="0" applyFont="1"/>
    <xf numFmtId="0" fontId="37" fillId="2" borderId="20" xfId="1" applyFont="1" applyBorder="1" applyAlignment="1">
      <alignment horizontal="center" vertical="top" wrapText="1"/>
    </xf>
    <xf numFmtId="0" fontId="39" fillId="17" borderId="3" xfId="16" applyFont="1" applyBorder="1" applyAlignment="1">
      <alignment horizontal="center" wrapText="1"/>
    </xf>
    <xf numFmtId="0" fontId="39" fillId="17" borderId="3" xfId="16" applyFont="1" applyBorder="1"/>
    <xf numFmtId="0" fontId="38" fillId="15" borderId="0" xfId="15" applyFont="1"/>
    <xf numFmtId="0" fontId="40" fillId="12" borderId="3" xfId="11" applyFont="1" applyBorder="1" applyAlignment="1">
      <alignment horizontal="center" wrapText="1"/>
    </xf>
    <xf numFmtId="0" fontId="41" fillId="17" borderId="3" xfId="16" applyFont="1" applyBorder="1" applyAlignment="1">
      <alignment horizontal="center" wrapText="1"/>
    </xf>
    <xf numFmtId="0" fontId="18" fillId="0" borderId="0" xfId="0" applyFont="1" applyAlignment="1">
      <alignment horizontal="center"/>
    </xf>
    <xf numFmtId="0" fontId="1" fillId="2" borderId="0" xfId="1" applyAlignment="1">
      <alignment horizontal="center"/>
    </xf>
    <xf numFmtId="0" fontId="17" fillId="18" borderId="3" xfId="17" applyBorder="1" applyAlignment="1">
      <alignment horizontal="center"/>
    </xf>
    <xf numFmtId="0" fontId="0" fillId="0" borderId="0" xfId="0" applyFill="1" applyBorder="1" applyAlignment="1">
      <alignment horizontal="center"/>
    </xf>
    <xf numFmtId="0" fontId="0" fillId="0" borderId="0" xfId="0" applyAlignment="1">
      <alignment horizontal="center"/>
    </xf>
    <xf numFmtId="0" fontId="43" fillId="0" borderId="17" xfId="0" applyFont="1" applyFill="1" applyBorder="1" applyAlignment="1">
      <alignment horizontal="center"/>
    </xf>
    <xf numFmtId="0" fontId="44" fillId="10" borderId="19" xfId="9" applyNumberFormat="1" applyFont="1" applyBorder="1" applyAlignment="1">
      <alignment horizontal="center"/>
    </xf>
    <xf numFmtId="0" fontId="23" fillId="0" borderId="4" xfId="8" applyFont="1" applyFill="1" applyBorder="1" applyAlignment="1">
      <alignment horizontal="center" wrapText="1"/>
    </xf>
    <xf numFmtId="0" fontId="0" fillId="0" borderId="0" xfId="0" applyAlignment="1">
      <alignment horizontal="center"/>
    </xf>
    <xf numFmtId="0" fontId="0" fillId="0" borderId="0" xfId="0"/>
    <xf numFmtId="0" fontId="0" fillId="0" borderId="0" xfId="0" applyFill="1" applyBorder="1" applyAlignment="1">
      <alignment horizontal="center"/>
    </xf>
    <xf numFmtId="0" fontId="18" fillId="0" borderId="0" xfId="0" applyFont="1"/>
    <xf numFmtId="0" fontId="17" fillId="13" borderId="0" xfId="12" applyAlignment="1">
      <alignment horizontal="right"/>
    </xf>
    <xf numFmtId="49" fontId="0" fillId="0" borderId="3" xfId="0" applyNumberFormat="1" applyBorder="1"/>
    <xf numFmtId="0" fontId="0" fillId="0" borderId="3" xfId="0" applyBorder="1"/>
    <xf numFmtId="0" fontId="18" fillId="0" borderId="0" xfId="0" applyFont="1" applyFill="1" applyAlignment="1">
      <alignment vertical="top" wrapText="1"/>
    </xf>
    <xf numFmtId="0" fontId="18" fillId="0" borderId="0" xfId="0" applyFont="1" applyFill="1"/>
    <xf numFmtId="0" fontId="18" fillId="0" borderId="0" xfId="0" applyFont="1" applyFill="1" applyAlignment="1">
      <alignment wrapText="1"/>
    </xf>
    <xf numFmtId="0" fontId="1" fillId="0" borderId="0" xfId="1" applyFill="1" applyAlignment="1">
      <alignment horizontal="center"/>
    </xf>
    <xf numFmtId="0" fontId="17" fillId="9" borderId="3" xfId="8" applyBorder="1" applyAlignment="1">
      <alignment horizontal="center"/>
    </xf>
    <xf numFmtId="0" fontId="38" fillId="9" borderId="3" xfId="8" applyFont="1" applyBorder="1" applyAlignment="1">
      <alignment horizontal="center"/>
    </xf>
    <xf numFmtId="0" fontId="38" fillId="9" borderId="19" xfId="8" applyFont="1" applyBorder="1" applyAlignment="1">
      <alignment horizontal="center"/>
    </xf>
    <xf numFmtId="0" fontId="38" fillId="9" borderId="19" xfId="8" applyNumberFormat="1" applyFont="1" applyBorder="1" applyAlignment="1">
      <alignment horizontal="center"/>
    </xf>
    <xf numFmtId="0" fontId="43" fillId="0" borderId="3" xfId="0" applyFont="1" applyFill="1" applyBorder="1" applyAlignment="1">
      <alignment horizontal="center"/>
    </xf>
    <xf numFmtId="0" fontId="18" fillId="0" borderId="0" xfId="0" applyFont="1"/>
    <xf numFmtId="0" fontId="38" fillId="13" borderId="3" xfId="12" applyFont="1" applyBorder="1"/>
    <xf numFmtId="0" fontId="17" fillId="17" borderId="3" xfId="16" applyBorder="1"/>
    <xf numFmtId="0" fontId="0" fillId="0" borderId="0" xfId="0"/>
    <xf numFmtId="0" fontId="18" fillId="0" borderId="0" xfId="0" applyFont="1"/>
    <xf numFmtId="0" fontId="43" fillId="0" borderId="19" xfId="9" applyFont="1" applyFill="1" applyBorder="1" applyAlignment="1">
      <alignment horizontal="center"/>
    </xf>
    <xf numFmtId="0" fontId="48" fillId="9" borderId="19" xfId="8" applyNumberFormat="1" applyFont="1" applyBorder="1" applyAlignment="1">
      <alignment horizontal="center"/>
    </xf>
    <xf numFmtId="0" fontId="18" fillId="16" borderId="3" xfId="0" applyFont="1" applyFill="1" applyBorder="1" applyAlignment="1">
      <alignment vertical="top" wrapText="1"/>
    </xf>
    <xf numFmtId="0" fontId="0" fillId="0" borderId="0" xfId="0" applyAlignment="1">
      <alignment horizontal="center"/>
    </xf>
    <xf numFmtId="0" fontId="0" fillId="0" borderId="0" xfId="0"/>
    <xf numFmtId="0" fontId="0" fillId="0" borderId="0" xfId="0" applyFill="1" applyBorder="1" applyAlignment="1">
      <alignment horizontal="center"/>
    </xf>
    <xf numFmtId="0" fontId="18" fillId="0" borderId="0" xfId="0" applyFont="1"/>
    <xf numFmtId="0" fontId="18" fillId="0" borderId="0" xfId="0" applyFont="1" applyAlignment="1">
      <alignment horizontal="center" vertical="center" wrapText="1"/>
    </xf>
    <xf numFmtId="0" fontId="13" fillId="8" borderId="3" xfId="7" applyBorder="1" applyAlignment="1">
      <alignment horizontal="center"/>
    </xf>
    <xf numFmtId="0" fontId="13" fillId="8" borderId="19" xfId="7" applyBorder="1" applyAlignment="1">
      <alignment horizontal="center"/>
    </xf>
    <xf numFmtId="0" fontId="13" fillId="8" borderId="19" xfId="7" applyNumberFormat="1" applyBorder="1" applyAlignment="1">
      <alignment horizontal="center"/>
    </xf>
    <xf numFmtId="0" fontId="0" fillId="0" borderId="0" xfId="0" applyFill="1" applyBorder="1"/>
    <xf numFmtId="0" fontId="12" fillId="7" borderId="3" xfId="4" applyBorder="1" applyAlignment="1">
      <alignment vertical="top" wrapText="1"/>
    </xf>
    <xf numFmtId="0" fontId="12" fillId="7" borderId="3" xfId="4" applyBorder="1"/>
    <xf numFmtId="0" fontId="49" fillId="0" borderId="0" xfId="0" applyFont="1" applyFill="1" applyBorder="1"/>
    <xf numFmtId="0" fontId="43" fillId="0" borderId="19" xfId="3" applyFont="1" applyFill="1" applyBorder="1" applyAlignment="1">
      <alignment horizontal="center"/>
    </xf>
    <xf numFmtId="0" fontId="0" fillId="0" borderId="0" xfId="0" applyAlignment="1">
      <alignment horizontal="center" vertical="center"/>
    </xf>
    <xf numFmtId="16" fontId="18" fillId="0" borderId="0" xfId="0" applyNumberFormat="1" applyFont="1" applyAlignment="1">
      <alignment horizontal="center"/>
    </xf>
    <xf numFmtId="0" fontId="0" fillId="0" borderId="0" xfId="0" applyFill="1" applyBorder="1" applyAlignment="1">
      <alignment horizontal="center" vertical="center"/>
    </xf>
    <xf numFmtId="0" fontId="13" fillId="8" borderId="3" xfId="7" applyNumberFormat="1" applyBorder="1" applyAlignment="1">
      <alignment horizontal="center"/>
    </xf>
    <xf numFmtId="0" fontId="17" fillId="9" borderId="19" xfId="8" applyBorder="1" applyAlignment="1">
      <alignment horizontal="center"/>
    </xf>
    <xf numFmtId="0" fontId="17" fillId="9" borderId="19" xfId="8" applyNumberFormat="1" applyBorder="1" applyAlignment="1">
      <alignment horizontal="center"/>
    </xf>
    <xf numFmtId="0" fontId="50" fillId="15" borderId="4" xfId="15" applyFont="1" applyBorder="1" applyAlignment="1">
      <alignment horizontal="center"/>
    </xf>
    <xf numFmtId="0" fontId="50" fillId="15" borderId="3" xfId="15" applyFont="1" applyBorder="1" applyAlignment="1">
      <alignment horizontal="center"/>
    </xf>
    <xf numFmtId="0" fontId="17" fillId="17" borderId="16" xfId="16" applyBorder="1"/>
    <xf numFmtId="16" fontId="38" fillId="13" borderId="3" xfId="12" applyNumberFormat="1" applyFont="1" applyBorder="1"/>
    <xf numFmtId="0" fontId="43" fillId="0" borderId="19" xfId="0" applyFont="1" applyFill="1" applyBorder="1" applyAlignment="1">
      <alignment horizontal="center"/>
    </xf>
    <xf numFmtId="0" fontId="0" fillId="0" borderId="0" xfId="0"/>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17" fillId="18" borderId="3" xfId="17" applyBorder="1" applyAlignment="1">
      <alignment vertical="center" wrapText="1"/>
    </xf>
    <xf numFmtId="0" fontId="17" fillId="18" borderId="3" xfId="17" applyBorder="1" applyAlignment="1">
      <alignment vertical="top" wrapText="1"/>
    </xf>
    <xf numFmtId="0" fontId="46" fillId="21" borderId="4" xfId="19" applyFont="1" applyBorder="1" applyAlignment="1">
      <alignment horizontal="center"/>
    </xf>
    <xf numFmtId="0" fontId="46" fillId="21" borderId="3" xfId="19" applyFont="1" applyBorder="1" applyAlignment="1">
      <alignment horizontal="center"/>
    </xf>
    <xf numFmtId="0" fontId="46" fillId="21" borderId="19" xfId="19" applyFont="1" applyBorder="1" applyAlignment="1">
      <alignment horizontal="center"/>
    </xf>
    <xf numFmtId="0" fontId="46" fillId="21" borderId="19" xfId="19" applyNumberFormat="1" applyFont="1" applyBorder="1" applyAlignment="1">
      <alignment horizontal="center"/>
    </xf>
    <xf numFmtId="0" fontId="46" fillId="21" borderId="16" xfId="19" applyFont="1" applyBorder="1" applyAlignment="1">
      <alignment horizontal="center" vertical="center"/>
    </xf>
    <xf numFmtId="0" fontId="46" fillId="21" borderId="4" xfId="19" applyFont="1" applyBorder="1" applyAlignment="1">
      <alignment horizontal="center" vertical="center"/>
    </xf>
    <xf numFmtId="0" fontId="46" fillId="21" borderId="3" xfId="19" applyNumberFormat="1" applyFont="1" applyBorder="1" applyAlignment="1">
      <alignment horizontal="center"/>
    </xf>
    <xf numFmtId="0" fontId="46" fillId="21" borderId="17" xfId="19" applyFont="1" applyBorder="1" applyAlignment="1">
      <alignment horizontal="center"/>
    </xf>
    <xf numFmtId="0" fontId="18" fillId="0" borderId="4" xfId="0" applyFont="1" applyBorder="1"/>
    <xf numFmtId="0" fontId="29" fillId="0" borderId="3" xfId="0" applyFont="1" applyBorder="1"/>
    <xf numFmtId="0" fontId="35" fillId="0" borderId="24" xfId="0" applyFont="1" applyBorder="1"/>
    <xf numFmtId="0" fontId="35" fillId="0" borderId="25" xfId="0" applyFont="1" applyBorder="1"/>
    <xf numFmtId="0" fontId="13" fillId="22" borderId="3" xfId="20" applyBorder="1" applyAlignment="1">
      <alignment horizontal="center"/>
    </xf>
    <xf numFmtId="0" fontId="51" fillId="0" borderId="26" xfId="0" applyFont="1" applyBorder="1" applyAlignment="1">
      <alignment wrapText="1"/>
    </xf>
    <xf numFmtId="0" fontId="51" fillId="0" borderId="26" xfId="0" applyFont="1" applyBorder="1" applyAlignment="1">
      <alignment horizontal="right" wrapText="1"/>
    </xf>
    <xf numFmtId="0" fontId="51" fillId="23" borderId="26" xfId="0" applyFont="1" applyFill="1" applyBorder="1" applyAlignment="1">
      <alignment wrapText="1"/>
    </xf>
    <xf numFmtId="0" fontId="51" fillId="23" borderId="26" xfId="0" applyFont="1" applyFill="1" applyBorder="1" applyAlignment="1">
      <alignment horizontal="right" wrapText="1"/>
    </xf>
    <xf numFmtId="0" fontId="52" fillId="0" borderId="26" xfId="0" applyFont="1" applyBorder="1" applyAlignment="1">
      <alignment wrapText="1"/>
    </xf>
    <xf numFmtId="0" fontId="52" fillId="0" borderId="26" xfId="0" applyFont="1" applyBorder="1" applyAlignment="1">
      <alignment horizontal="right" wrapText="1"/>
    </xf>
    <xf numFmtId="0" fontId="53" fillId="23" borderId="26" xfId="0" applyFont="1" applyFill="1" applyBorder="1" applyAlignment="1">
      <alignment wrapText="1"/>
    </xf>
    <xf numFmtId="0" fontId="53" fillId="24" borderId="26" xfId="0" applyFont="1" applyFill="1" applyBorder="1" applyAlignment="1">
      <alignment horizontal="right" wrapText="1"/>
    </xf>
    <xf numFmtId="0" fontId="51" fillId="25" borderId="26" xfId="0" applyFont="1" applyFill="1" applyBorder="1" applyAlignment="1">
      <alignment wrapText="1"/>
    </xf>
    <xf numFmtId="0" fontId="0" fillId="25" borderId="26" xfId="0" applyFill="1" applyBorder="1" applyAlignment="1">
      <alignment wrapText="1"/>
    </xf>
    <xf numFmtId="0" fontId="53" fillId="25" borderId="26" xfId="0" applyFont="1" applyFill="1" applyBorder="1" applyAlignment="1">
      <alignment wrapText="1"/>
    </xf>
    <xf numFmtId="3" fontId="53" fillId="25" borderId="26" xfId="0" applyNumberFormat="1" applyFont="1" applyFill="1" applyBorder="1" applyAlignment="1">
      <alignment horizontal="right" wrapText="1"/>
    </xf>
    <xf numFmtId="3" fontId="54" fillId="26" borderId="26" xfId="0" applyNumberFormat="1" applyFont="1" applyFill="1" applyBorder="1" applyAlignment="1">
      <alignment horizontal="right" wrapText="1"/>
    </xf>
    <xf numFmtId="3" fontId="55" fillId="27" borderId="26" xfId="0" applyNumberFormat="1" applyFont="1" applyFill="1" applyBorder="1" applyAlignment="1">
      <alignment horizontal="right" wrapText="1"/>
    </xf>
    <xf numFmtId="0" fontId="56" fillId="25" borderId="26" xfId="0" applyFont="1" applyFill="1" applyBorder="1" applyAlignment="1">
      <alignment wrapText="1"/>
    </xf>
    <xf numFmtId="0" fontId="56" fillId="26" borderId="26" xfId="0" applyFont="1" applyFill="1" applyBorder="1" applyAlignment="1">
      <alignment horizontal="right" wrapText="1"/>
    </xf>
    <xf numFmtId="0" fontId="56" fillId="23" borderId="26" xfId="0" applyFont="1" applyFill="1" applyBorder="1" applyAlignment="1">
      <alignment wrapText="1"/>
    </xf>
    <xf numFmtId="3" fontId="56" fillId="26" borderId="26" xfId="0" applyNumberFormat="1" applyFont="1" applyFill="1" applyBorder="1" applyAlignment="1">
      <alignment horizontal="right" wrapText="1"/>
    </xf>
    <xf numFmtId="0" fontId="57" fillId="25" borderId="26" xfId="0" applyFont="1" applyFill="1" applyBorder="1" applyAlignment="1">
      <alignment wrapText="1"/>
    </xf>
    <xf numFmtId="0" fontId="57" fillId="25" borderId="26" xfId="0" applyFont="1" applyFill="1" applyBorder="1" applyAlignment="1">
      <alignment horizontal="right" wrapText="1"/>
    </xf>
    <xf numFmtId="0" fontId="57" fillId="28" borderId="26" xfId="0" applyFont="1" applyFill="1" applyBorder="1" applyAlignment="1">
      <alignment wrapText="1"/>
    </xf>
    <xf numFmtId="0" fontId="57" fillId="29" borderId="26" xfId="0" applyFont="1" applyFill="1" applyBorder="1" applyAlignment="1">
      <alignment horizontal="right" wrapText="1"/>
    </xf>
    <xf numFmtId="0" fontId="58" fillId="25" borderId="26" xfId="0" applyFont="1" applyFill="1" applyBorder="1" applyAlignment="1">
      <alignment wrapText="1"/>
    </xf>
    <xf numFmtId="0" fontId="58" fillId="25" borderId="26" xfId="0" applyFont="1" applyFill="1" applyBorder="1" applyAlignment="1">
      <alignment horizontal="right" wrapText="1"/>
    </xf>
    <xf numFmtId="0" fontId="0" fillId="30" borderId="26" xfId="0" applyFill="1" applyBorder="1" applyAlignment="1">
      <alignment wrapText="1"/>
    </xf>
    <xf numFmtId="0" fontId="59" fillId="30" borderId="26" xfId="0" applyFont="1" applyFill="1" applyBorder="1" applyAlignment="1">
      <alignment wrapText="1"/>
    </xf>
    <xf numFmtId="0" fontId="59" fillId="25" borderId="26" xfId="0" applyFont="1" applyFill="1" applyBorder="1" applyAlignment="1">
      <alignment wrapText="1"/>
    </xf>
    <xf numFmtId="0" fontId="59" fillId="25" borderId="26" xfId="0" applyFont="1" applyFill="1" applyBorder="1" applyAlignment="1">
      <alignment horizontal="right" wrapText="1"/>
    </xf>
    <xf numFmtId="0" fontId="60" fillId="25" borderId="26" xfId="0" applyFont="1" applyFill="1" applyBorder="1" applyAlignment="1">
      <alignment wrapText="1"/>
    </xf>
    <xf numFmtId="0" fontId="60" fillId="25" borderId="26" xfId="0" applyFont="1" applyFill="1" applyBorder="1" applyAlignment="1">
      <alignment horizontal="right" wrapText="1"/>
    </xf>
    <xf numFmtId="0" fontId="59" fillId="30" borderId="26" xfId="0" applyFont="1" applyFill="1" applyBorder="1" applyAlignment="1">
      <alignment horizontal="right" wrapText="1"/>
    </xf>
    <xf numFmtId="0" fontId="60" fillId="30" borderId="26" xfId="0" applyFont="1" applyFill="1" applyBorder="1" applyAlignment="1">
      <alignment wrapText="1"/>
    </xf>
    <xf numFmtId="0" fontId="60" fillId="30" borderId="26" xfId="0" applyFont="1" applyFill="1" applyBorder="1" applyAlignment="1">
      <alignment horizontal="right" wrapText="1"/>
    </xf>
    <xf numFmtId="0" fontId="61" fillId="30" borderId="26" xfId="0" applyFont="1" applyFill="1" applyBorder="1" applyAlignment="1">
      <alignment wrapText="1"/>
    </xf>
    <xf numFmtId="4" fontId="0" fillId="0" borderId="0" xfId="0" applyNumberFormat="1"/>
    <xf numFmtId="4" fontId="61" fillId="30" borderId="26" xfId="0" applyNumberFormat="1" applyFont="1" applyFill="1" applyBorder="1" applyAlignment="1">
      <alignment horizontal="right" wrapText="1"/>
    </xf>
    <xf numFmtId="0" fontId="61" fillId="25" borderId="26" xfId="0" applyFont="1" applyFill="1" applyBorder="1" applyAlignment="1">
      <alignment wrapText="1"/>
    </xf>
    <xf numFmtId="0" fontId="61" fillId="25" borderId="26" xfId="0" applyFont="1" applyFill="1" applyBorder="1" applyAlignment="1">
      <alignment horizontal="right" wrapText="1"/>
    </xf>
    <xf numFmtId="0" fontId="61" fillId="30" borderId="26" xfId="0" applyFont="1" applyFill="1" applyBorder="1" applyAlignment="1">
      <alignment horizontal="right" wrapText="1"/>
    </xf>
    <xf numFmtId="4" fontId="61" fillId="25" borderId="26" xfId="0" applyNumberFormat="1" applyFont="1" applyFill="1" applyBorder="1" applyAlignment="1">
      <alignment horizontal="right" wrapText="1"/>
    </xf>
    <xf numFmtId="0" fontId="0" fillId="0" borderId="26" xfId="0" applyBorder="1"/>
    <xf numFmtId="0" fontId="52" fillId="0" borderId="0" xfId="0" applyFont="1" applyBorder="1" applyAlignment="1">
      <alignment wrapText="1"/>
    </xf>
    <xf numFmtId="0" fontId="53" fillId="23" borderId="0" xfId="0" applyFont="1" applyFill="1" applyBorder="1" applyAlignment="1">
      <alignment wrapText="1"/>
    </xf>
    <xf numFmtId="0" fontId="51" fillId="0" borderId="0" xfId="0" applyFont="1" applyBorder="1" applyAlignment="1">
      <alignment wrapText="1"/>
    </xf>
    <xf numFmtId="0" fontId="29" fillId="0" borderId="5" xfId="0" applyFont="1" applyBorder="1"/>
    <xf numFmtId="0" fontId="29" fillId="0" borderId="7" xfId="0" applyFont="1" applyBorder="1"/>
    <xf numFmtId="0" fontId="29" fillId="0" borderId="27" xfId="0" applyFont="1" applyBorder="1"/>
    <xf numFmtId="0" fontId="35" fillId="0" borderId="5" xfId="0" applyFont="1" applyBorder="1"/>
    <xf numFmtId="0" fontId="29" fillId="0" borderId="28" xfId="0" applyFont="1" applyBorder="1"/>
    <xf numFmtId="0" fontId="29" fillId="0" borderId="9" xfId="0" applyFont="1" applyBorder="1"/>
    <xf numFmtId="0" fontId="29" fillId="0" borderId="29" xfId="0" applyFont="1" applyBorder="1"/>
    <xf numFmtId="0" fontId="29" fillId="0" borderId="30" xfId="0" applyFont="1" applyBorder="1"/>
    <xf numFmtId="0" fontId="32" fillId="0" borderId="0" xfId="0" applyFont="1" applyBorder="1"/>
    <xf numFmtId="0" fontId="32" fillId="0" borderId="31" xfId="0" applyFont="1" applyBorder="1"/>
    <xf numFmtId="0" fontId="29" fillId="0" borderId="32" xfId="0" applyFont="1" applyBorder="1"/>
    <xf numFmtId="0" fontId="32" fillId="0" borderId="33" xfId="0" applyFont="1" applyBorder="1"/>
    <xf numFmtId="0" fontId="32" fillId="0" borderId="34" xfId="0" applyFont="1" applyBorder="1"/>
    <xf numFmtId="0" fontId="29" fillId="0" borderId="4" xfId="0" applyFont="1" applyBorder="1"/>
    <xf numFmtId="0" fontId="29" fillId="0" borderId="17" xfId="0" applyFont="1" applyBorder="1"/>
    <xf numFmtId="0" fontId="29" fillId="0" borderId="0" xfId="0" applyFont="1" applyBorder="1"/>
    <xf numFmtId="0" fontId="32" fillId="0" borderId="21" xfId="0" applyFont="1" applyBorder="1"/>
    <xf numFmtId="0" fontId="29" fillId="0" borderId="16" xfId="0" applyFont="1" applyBorder="1"/>
    <xf numFmtId="0" fontId="32" fillId="0" borderId="35" xfId="0" applyFont="1" applyBorder="1"/>
    <xf numFmtId="0" fontId="29" fillId="0" borderId="22" xfId="0" applyFont="1" applyBorder="1"/>
    <xf numFmtId="0" fontId="32" fillId="0" borderId="9" xfId="0" applyFont="1" applyBorder="1"/>
    <xf numFmtId="0" fontId="32" fillId="0" borderId="23" xfId="0" applyFont="1" applyBorder="1"/>
    <xf numFmtId="0" fontId="0" fillId="0" borderId="7" xfId="0" applyBorder="1"/>
    <xf numFmtId="0" fontId="0" fillId="0" borderId="35" xfId="0" applyFill="1" applyBorder="1"/>
    <xf numFmtId="0" fontId="0" fillId="0" borderId="16" xfId="0" applyBorder="1"/>
    <xf numFmtId="0" fontId="0" fillId="22" borderId="4" xfId="20" applyFont="1" applyBorder="1" applyAlignment="1">
      <alignment horizontal="center"/>
    </xf>
    <xf numFmtId="0" fontId="17" fillId="9" borderId="0" xfId="8" applyBorder="1"/>
    <xf numFmtId="0" fontId="62" fillId="21" borderId="19" xfId="19" applyFont="1" applyBorder="1" applyAlignment="1">
      <alignment horizontal="center"/>
    </xf>
    <xf numFmtId="0" fontId="62" fillId="21" borderId="19" xfId="19" applyNumberFormat="1" applyFont="1" applyBorder="1" applyAlignment="1">
      <alignment horizontal="center"/>
    </xf>
    <xf numFmtId="0" fontId="0" fillId="0" borderId="0" xfId="0" applyAlignment="1">
      <alignment horizontal="center"/>
    </xf>
    <xf numFmtId="0" fontId="0" fillId="0" borderId="0" xfId="0"/>
    <xf numFmtId="0" fontId="0" fillId="0" borderId="0" xfId="0" applyAlignment="1">
      <alignment horizontal="center" vertical="center"/>
    </xf>
    <xf numFmtId="0" fontId="0" fillId="0" borderId="0" xfId="0" applyFill="1" applyBorder="1" applyAlignment="1">
      <alignment horizontal="center"/>
    </xf>
    <xf numFmtId="0" fontId="18" fillId="0" borderId="0" xfId="0" applyFont="1"/>
    <xf numFmtId="0" fontId="62" fillId="31" borderId="8" xfId="21" applyFont="1" applyAlignment="1">
      <alignment horizontal="center"/>
    </xf>
    <xf numFmtId="0" fontId="62" fillId="31" borderId="8" xfId="21" applyNumberFormat="1" applyFont="1" applyAlignment="1">
      <alignment horizontal="center"/>
    </xf>
    <xf numFmtId="0" fontId="13" fillId="12" borderId="4" xfId="11" applyBorder="1" applyAlignment="1">
      <alignment horizontal="center"/>
    </xf>
    <xf numFmtId="0" fontId="13" fillId="12" borderId="3" xfId="11" applyBorder="1" applyAlignment="1">
      <alignment horizontal="center"/>
    </xf>
    <xf numFmtId="0" fontId="13" fillId="12" borderId="19" xfId="11" applyBorder="1" applyAlignment="1">
      <alignment horizontal="center"/>
    </xf>
    <xf numFmtId="0" fontId="13" fillId="12" borderId="19" xfId="11" applyNumberFormat="1" applyBorder="1" applyAlignment="1">
      <alignment horizontal="center"/>
    </xf>
    <xf numFmtId="0" fontId="13" fillId="12" borderId="4" xfId="11" applyBorder="1" applyAlignment="1">
      <alignment horizontal="center" vertical="center"/>
    </xf>
    <xf numFmtId="0" fontId="13" fillId="12" borderId="3" xfId="11" applyNumberFormat="1" applyBorder="1" applyAlignment="1">
      <alignment horizontal="center"/>
    </xf>
    <xf numFmtId="0" fontId="13" fillId="12" borderId="17" xfId="11" applyBorder="1" applyAlignment="1">
      <alignment horizontal="center"/>
    </xf>
    <xf numFmtId="0" fontId="0" fillId="12" borderId="17" xfId="11" applyFont="1" applyBorder="1" applyAlignment="1">
      <alignment horizontal="center"/>
    </xf>
    <xf numFmtId="0" fontId="0" fillId="12" borderId="4" xfId="11" applyFont="1" applyBorder="1" applyAlignment="1">
      <alignment horizontal="center"/>
    </xf>
    <xf numFmtId="0" fontId="0" fillId="12" borderId="3" xfId="11" applyFont="1" applyBorder="1" applyAlignment="1">
      <alignment horizontal="center"/>
    </xf>
    <xf numFmtId="0" fontId="63" fillId="32" borderId="15" xfId="22" applyAlignment="1">
      <alignment horizontal="center"/>
    </xf>
    <xf numFmtId="0" fontId="49" fillId="0" borderId="3" xfId="0" applyFont="1" applyFill="1" applyBorder="1"/>
    <xf numFmtId="0" fontId="0" fillId="33" borderId="3" xfId="8" applyFont="1" applyFill="1" applyBorder="1"/>
    <xf numFmtId="0" fontId="0" fillId="12" borderId="16" xfId="11" applyFont="1" applyBorder="1" applyAlignment="1">
      <alignment horizontal="center" vertic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13" fillId="11" borderId="4" xfId="10" applyBorder="1" applyAlignment="1">
      <alignment horizontal="center"/>
    </xf>
    <xf numFmtId="0" fontId="13" fillId="11" borderId="3" xfId="10" applyBorder="1" applyAlignment="1">
      <alignment horizontal="center"/>
    </xf>
    <xf numFmtId="0" fontId="13" fillId="11" borderId="19" xfId="10" applyBorder="1" applyAlignment="1">
      <alignment horizontal="center"/>
    </xf>
    <xf numFmtId="0" fontId="13" fillId="11" borderId="19" xfId="10" applyNumberFormat="1" applyBorder="1" applyAlignment="1">
      <alignment horizontal="center"/>
    </xf>
    <xf numFmtId="0" fontId="13" fillId="11" borderId="16" xfId="10" applyBorder="1" applyAlignment="1">
      <alignment horizontal="center" vertical="center"/>
    </xf>
    <xf numFmtId="0" fontId="13" fillId="11" borderId="4" xfId="10" applyBorder="1" applyAlignment="1">
      <alignment horizontal="center" vertical="center"/>
    </xf>
    <xf numFmtId="0" fontId="13" fillId="11" borderId="3" xfId="10" applyNumberFormat="1" applyBorder="1" applyAlignment="1">
      <alignment horizontal="center"/>
    </xf>
    <xf numFmtId="0" fontId="0" fillId="11" borderId="3" xfId="10" applyFont="1" applyBorder="1" applyAlignment="1">
      <alignment horizontal="center"/>
    </xf>
    <xf numFmtId="0" fontId="0" fillId="11" borderId="19" xfId="10" applyFont="1" applyBorder="1" applyAlignment="1">
      <alignment horizontal="center"/>
    </xf>
    <xf numFmtId="0" fontId="0" fillId="11" borderId="4" xfId="10" applyFont="1" applyBorder="1" applyAlignment="1">
      <alignment horizontal="center"/>
    </xf>
    <xf numFmtId="0" fontId="0" fillId="11" borderId="17" xfId="10" applyFont="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17" fillId="34" borderId="3" xfId="23" applyBorder="1" applyAlignment="1">
      <alignment horizontal="center" vertical="center"/>
    </xf>
    <xf numFmtId="0" fontId="1" fillId="2" borderId="3" xfId="1" applyBorder="1" applyAlignment="1">
      <alignment horizontal="center" vertical="center"/>
    </xf>
    <xf numFmtId="0" fontId="0" fillId="11" borderId="16" xfId="10" applyFont="1" applyBorder="1" applyAlignment="1">
      <alignment horizontal="center" vertical="center"/>
    </xf>
    <xf numFmtId="0" fontId="1" fillId="2" borderId="36" xfId="1" applyBorder="1" applyAlignment="1">
      <alignment horizontal="center" vertical="center"/>
    </xf>
    <xf numFmtId="0" fontId="0" fillId="11" borderId="4" xfId="10" applyFont="1" applyBorder="1" applyAlignment="1">
      <alignment horizontal="center" vertical="center"/>
    </xf>
    <xf numFmtId="0" fontId="0" fillId="0" borderId="0" xfId="0" applyFill="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17" fillId="13" borderId="0" xfId="12"/>
    <xf numFmtId="0" fontId="17" fillId="13" borderId="0" xfId="12" applyBorder="1"/>
    <xf numFmtId="0" fontId="5" fillId="4" borderId="4" xfId="3" applyBorder="1"/>
    <xf numFmtId="0" fontId="5" fillId="4" borderId="24" xfId="3" applyBorder="1"/>
    <xf numFmtId="0" fontId="5" fillId="4" borderId="5" xfId="3" applyBorder="1"/>
    <xf numFmtId="0" fontId="5" fillId="4" borderId="16" xfId="3" applyBorder="1"/>
    <xf numFmtId="0" fontId="5" fillId="4" borderId="0" xfId="3" applyBorder="1"/>
    <xf numFmtId="0" fontId="5" fillId="4" borderId="35" xfId="3" applyBorder="1"/>
    <xf numFmtId="0" fontId="5" fillId="4" borderId="0" xfId="3"/>
    <xf numFmtId="0" fontId="62" fillId="21" borderId="3" xfId="19" applyFont="1" applyBorder="1" applyAlignment="1">
      <alignment horizontal="center"/>
    </xf>
    <xf numFmtId="0" fontId="62" fillId="21" borderId="3" xfId="19" applyNumberFormat="1" applyFont="1" applyBorder="1" applyAlignment="1">
      <alignment horizontal="center"/>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18" fillId="0" borderId="0" xfId="0" applyFont="1"/>
    <xf numFmtId="0" fontId="0" fillId="0" borderId="0" xfId="0"/>
    <xf numFmtId="0" fontId="18" fillId="0" borderId="0" xfId="0" applyFont="1"/>
    <xf numFmtId="0" fontId="0" fillId="0" borderId="0" xfId="0"/>
    <xf numFmtId="0" fontId="18" fillId="0" borderId="0" xfId="0" applyFont="1"/>
    <xf numFmtId="0" fontId="0" fillId="0" borderId="0" xfId="0" applyAlignment="1">
      <alignment horizontal="center"/>
    </xf>
    <xf numFmtId="0" fontId="0" fillId="0" borderId="0" xfId="0"/>
    <xf numFmtId="0" fontId="0" fillId="0" borderId="0" xfId="0" applyAlignment="1">
      <alignment horizontal="center" vertical="center"/>
    </xf>
    <xf numFmtId="0" fontId="0" fillId="0" borderId="0" xfId="0" applyFill="1" applyBorder="1" applyAlignment="1">
      <alignment horizontal="center"/>
    </xf>
    <xf numFmtId="0" fontId="18" fillId="0" borderId="0" xfId="0" applyFont="1"/>
    <xf numFmtId="0" fontId="0" fillId="11" borderId="19" xfId="10" applyFont="1" applyBorder="1" applyAlignment="1">
      <alignment horizontal="center" wrapText="1"/>
    </xf>
    <xf numFmtId="0" fontId="18" fillId="0" borderId="0" xfId="0" applyFont="1"/>
    <xf numFmtId="0" fontId="64" fillId="12" borderId="37" xfId="24" applyFill="1" applyAlignment="1">
      <alignment vertical="top" wrapText="1"/>
    </xf>
    <xf numFmtId="0" fontId="18" fillId="0" borderId="0" xfId="0" applyFont="1"/>
    <xf numFmtId="0" fontId="17" fillId="15" borderId="3" xfId="15" applyBorder="1" applyAlignment="1">
      <alignment horizontal="center" wrapText="1"/>
    </xf>
    <xf numFmtId="0" fontId="13" fillId="21" borderId="0" xfId="19"/>
    <xf numFmtId="0" fontId="13" fillId="22" borderId="4" xfId="20" applyBorder="1" applyAlignment="1">
      <alignment horizontal="center"/>
    </xf>
    <xf numFmtId="0" fontId="13" fillId="22" borderId="19" xfId="20" applyBorder="1" applyAlignment="1">
      <alignment horizontal="center"/>
    </xf>
    <xf numFmtId="0" fontId="0" fillId="22" borderId="3" xfId="20" applyFont="1" applyBorder="1" applyAlignment="1">
      <alignment horizontal="center"/>
    </xf>
    <xf numFmtId="0" fontId="32" fillId="0" borderId="35" xfId="0" applyFont="1" applyFill="1" applyBorder="1"/>
    <xf numFmtId="0" fontId="0" fillId="22" borderId="17" xfId="20" applyFont="1" applyBorder="1" applyAlignment="1">
      <alignment horizontal="center"/>
    </xf>
    <xf numFmtId="0" fontId="18" fillId="0" borderId="0" xfId="0" applyFont="1"/>
    <xf numFmtId="0" fontId="0" fillId="22" borderId="16" xfId="20" applyFont="1" applyBorder="1" applyAlignment="1">
      <alignment horizontal="center" vertical="center"/>
    </xf>
    <xf numFmtId="0" fontId="0" fillId="0" borderId="0" xfId="0"/>
    <xf numFmtId="0" fontId="18" fillId="0" borderId="0" xfId="0" applyFont="1"/>
    <xf numFmtId="0" fontId="0" fillId="22" borderId="19" xfId="20" applyFont="1" applyBorder="1" applyAlignment="1">
      <alignment horizontal="center"/>
    </xf>
    <xf numFmtId="0" fontId="0" fillId="22" borderId="19" xfId="20" applyFont="1" applyBorder="1" applyAlignment="1">
      <alignment horizontal="center" wrapText="1"/>
    </xf>
    <xf numFmtId="0" fontId="18" fillId="0" borderId="16" xfId="0" applyFont="1" applyFill="1" applyBorder="1"/>
    <xf numFmtId="0" fontId="49" fillId="0" borderId="0" xfId="0" applyFont="1" applyFill="1" applyBorder="1" applyAlignment="1">
      <alignment wrapText="1"/>
    </xf>
    <xf numFmtId="0" fontId="0" fillId="0" borderId="0" xfId="0"/>
    <xf numFmtId="0" fontId="0" fillId="0" borderId="0" xfId="0"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3" fillId="3" borderId="0" xfId="2" applyFill="1" applyBorder="1" applyAlignment="1">
      <alignment horizontal="center" vertical="top" wrapText="1"/>
    </xf>
    <xf numFmtId="0" fontId="3" fillId="3" borderId="2" xfId="2" applyFill="1" applyAlignment="1">
      <alignment horizontal="center" vertical="top" wrapText="1"/>
    </xf>
    <xf numFmtId="0" fontId="5" fillId="6" borderId="4" xfId="3" applyFill="1" applyBorder="1" applyAlignment="1">
      <alignment horizontal="center" vertical="center"/>
    </xf>
    <xf numFmtId="0" fontId="5" fillId="6" borderId="5" xfId="3" applyFill="1" applyBorder="1" applyAlignment="1">
      <alignment horizontal="center" vertical="center"/>
    </xf>
    <xf numFmtId="0" fontId="5" fillId="6" borderId="6" xfId="3" applyFill="1" applyBorder="1" applyAlignment="1">
      <alignment horizontal="center" vertical="center"/>
    </xf>
    <xf numFmtId="0" fontId="5" fillId="6" borderId="4" xfId="3" applyFill="1" applyBorder="1" applyAlignment="1">
      <alignment horizontal="center"/>
    </xf>
    <xf numFmtId="0" fontId="5" fillId="6" borderId="5" xfId="3" applyFill="1" applyBorder="1" applyAlignment="1">
      <alignment horizontal="center"/>
    </xf>
    <xf numFmtId="0" fontId="5" fillId="6" borderId="6" xfId="3" applyFill="1" applyBorder="1" applyAlignment="1">
      <alignment horizontal="center"/>
    </xf>
    <xf numFmtId="0" fontId="2" fillId="0" borderId="9" xfId="0" applyFont="1" applyBorder="1" applyAlignment="1">
      <alignment horizontal="center" wrapText="1"/>
    </xf>
    <xf numFmtId="0" fontId="0" fillId="8" borderId="13" xfId="7" applyFont="1" applyBorder="1" applyAlignment="1">
      <alignment horizontal="center"/>
    </xf>
    <xf numFmtId="0" fontId="0" fillId="8" borderId="14" xfId="7" applyFont="1" applyBorder="1" applyAlignment="1">
      <alignment horizontal="center"/>
    </xf>
    <xf numFmtId="0" fontId="0" fillId="8" borderId="4" xfId="7" applyFont="1" applyBorder="1" applyAlignment="1">
      <alignment horizontal="center"/>
    </xf>
    <xf numFmtId="0" fontId="0" fillId="8" borderId="5" xfId="7" applyFont="1" applyBorder="1" applyAlignment="1">
      <alignment horizontal="center"/>
    </xf>
    <xf numFmtId="0" fontId="0" fillId="8" borderId="6" xfId="7" applyFont="1" applyBorder="1" applyAlignment="1">
      <alignment horizontal="center"/>
    </xf>
    <xf numFmtId="0" fontId="0" fillId="0" borderId="7" xfId="0" applyBorder="1" applyAlignment="1">
      <alignment horizontal="center"/>
    </xf>
    <xf numFmtId="0" fontId="14" fillId="3" borderId="10" xfId="5" applyBorder="1" applyAlignment="1">
      <alignment horizontal="center"/>
    </xf>
    <xf numFmtId="0" fontId="14" fillId="3" borderId="11" xfId="5" applyBorder="1" applyAlignment="1">
      <alignment horizontal="center"/>
    </xf>
    <xf numFmtId="0" fontId="14" fillId="3" borderId="12" xfId="5" applyBorder="1" applyAlignment="1">
      <alignment horizontal="center"/>
    </xf>
    <xf numFmtId="0" fontId="0" fillId="0" borderId="0" xfId="0" applyAlignment="1"/>
    <xf numFmtId="0" fontId="12" fillId="7" borderId="0" xfId="4" applyAlignment="1">
      <alignment horizontal="center"/>
    </xf>
    <xf numFmtId="0" fontId="13" fillId="12" borderId="0" xfId="11" applyAlignment="1">
      <alignment horizontal="center"/>
    </xf>
    <xf numFmtId="0" fontId="46" fillId="14" borderId="0" xfId="14" applyFont="1" applyAlignment="1">
      <alignment horizontal="center" wrapText="1"/>
    </xf>
    <xf numFmtId="0" fontId="17" fillId="10" borderId="15" xfId="9" applyBorder="1" applyAlignment="1">
      <alignment horizontal="center" vertical="center" wrapText="1"/>
    </xf>
    <xf numFmtId="0" fontId="17" fillId="20" borderId="0" xfId="18" applyAlignment="1">
      <alignment horizontal="center"/>
    </xf>
    <xf numFmtId="0" fontId="5" fillId="4" borderId="0" xfId="3" applyAlignment="1">
      <alignment horizontal="center"/>
    </xf>
    <xf numFmtId="0" fontId="1" fillId="2" borderId="0" xfId="1" applyAlignment="1">
      <alignment horizontal="center"/>
    </xf>
    <xf numFmtId="0" fontId="0" fillId="12" borderId="0" xfId="11" applyFont="1" applyAlignment="1">
      <alignment horizontal="center" wrapText="1"/>
    </xf>
    <xf numFmtId="0" fontId="13" fillId="12" borderId="0" xfId="11" applyAlignment="1">
      <alignment horizontal="center" wrapText="1"/>
    </xf>
    <xf numFmtId="0" fontId="17" fillId="10" borderId="0" xfId="9" applyAlignment="1">
      <alignment horizontal="center"/>
    </xf>
    <xf numFmtId="0" fontId="18" fillId="0" borderId="0" xfId="0" applyFont="1" applyAlignment="1">
      <alignment horizontal="center"/>
    </xf>
    <xf numFmtId="0" fontId="26" fillId="2" borderId="0" xfId="1" applyFont="1" applyAlignment="1">
      <alignment horizontal="center"/>
    </xf>
    <xf numFmtId="0" fontId="34" fillId="17" borderId="0" xfId="16" applyFont="1" applyAlignment="1">
      <alignment horizontal="center"/>
    </xf>
    <xf numFmtId="0" fontId="38" fillId="13" borderId="4" xfId="12" applyFont="1" applyBorder="1" applyAlignment="1">
      <alignment horizontal="center"/>
    </xf>
    <xf numFmtId="0" fontId="38" fillId="13" borderId="5" xfId="12" applyFont="1" applyBorder="1" applyAlignment="1">
      <alignment horizontal="center"/>
    </xf>
    <xf numFmtId="0" fontId="38" fillId="13" borderId="6" xfId="12" applyFont="1" applyBorder="1" applyAlignment="1">
      <alignment horizontal="center"/>
    </xf>
    <xf numFmtId="0" fontId="0" fillId="20" borderId="4" xfId="18" applyFont="1" applyBorder="1" applyAlignment="1">
      <alignment horizontal="center"/>
    </xf>
    <xf numFmtId="0" fontId="13" fillId="20" borderId="5" xfId="18" applyFont="1" applyBorder="1" applyAlignment="1">
      <alignment horizontal="center"/>
    </xf>
    <xf numFmtId="0" fontId="13" fillId="20" borderId="6" xfId="18" applyFont="1" applyBorder="1" applyAlignment="1">
      <alignment horizontal="center"/>
    </xf>
    <xf numFmtId="0" fontId="38" fillId="13" borderId="3" xfId="12" applyFont="1" applyBorder="1" applyAlignment="1">
      <alignment horizontal="center"/>
    </xf>
    <xf numFmtId="0" fontId="45" fillId="13" borderId="17" xfId="12" applyFont="1" applyBorder="1" applyAlignment="1">
      <alignment horizontal="center" vertical="top" wrapText="1"/>
    </xf>
    <xf numFmtId="0" fontId="45" fillId="13" borderId="7" xfId="12" applyFont="1" applyBorder="1" applyAlignment="1">
      <alignment horizontal="center" vertical="top" wrapText="1"/>
    </xf>
    <xf numFmtId="0" fontId="45" fillId="13" borderId="21" xfId="12" applyFont="1" applyBorder="1" applyAlignment="1">
      <alignment horizontal="center" vertical="top" wrapText="1"/>
    </xf>
    <xf numFmtId="0" fontId="45" fillId="13" borderId="22" xfId="12" applyFont="1" applyBorder="1" applyAlignment="1">
      <alignment horizontal="center" vertical="top" wrapText="1"/>
    </xf>
    <xf numFmtId="0" fontId="45" fillId="13" borderId="9" xfId="12" applyFont="1" applyBorder="1" applyAlignment="1">
      <alignment horizontal="center" vertical="top" wrapText="1"/>
    </xf>
    <xf numFmtId="0" fontId="45" fillId="13" borderId="23" xfId="12" applyFont="1" applyBorder="1" applyAlignment="1">
      <alignment horizontal="center" vertical="top" wrapText="1"/>
    </xf>
    <xf numFmtId="0" fontId="28" fillId="11" borderId="0" xfId="10" applyFont="1" applyAlignment="1">
      <alignment horizontal="center"/>
    </xf>
    <xf numFmtId="0" fontId="47" fillId="15" borderId="0" xfId="15" applyFont="1" applyAlignment="1">
      <alignment horizontal="center" wrapText="1"/>
    </xf>
    <xf numFmtId="0" fontId="28" fillId="11" borderId="0" xfId="10" applyFont="1" applyAlignment="1">
      <alignment horizontal="center" vertical="top" wrapText="1"/>
    </xf>
    <xf numFmtId="0" fontId="28" fillId="11" borderId="0" xfId="10" applyFont="1" applyAlignment="1">
      <alignment horizontal="center" vertical="top"/>
    </xf>
    <xf numFmtId="0" fontId="14" fillId="3" borderId="1" xfId="5" applyAlignment="1">
      <alignment horizontal="center" vertical="top"/>
    </xf>
    <xf numFmtId="0" fontId="1" fillId="2" borderId="0" xfId="1" applyAlignment="1">
      <alignment horizontal="center" wrapText="1"/>
    </xf>
    <xf numFmtId="0" fontId="27" fillId="0" borderId="0" xfId="13" applyAlignment="1">
      <alignment horizontal="center"/>
    </xf>
    <xf numFmtId="0" fontId="14" fillId="3" borderId="1" xfId="5" applyAlignment="1">
      <alignment horizontal="center" wrapText="1"/>
    </xf>
    <xf numFmtId="0" fontId="42" fillId="15" borderId="0" xfId="15" applyFont="1" applyAlignment="1">
      <alignment vertical="top" wrapText="1"/>
    </xf>
    <xf numFmtId="0" fontId="33" fillId="15" borderId="3" xfId="15" applyFont="1" applyBorder="1" applyAlignment="1">
      <alignment wrapText="1"/>
    </xf>
    <xf numFmtId="0" fontId="18" fillId="0" borderId="0" xfId="0" applyFont="1"/>
    <xf numFmtId="0" fontId="17" fillId="9" borderId="0" xfId="8"/>
    <xf numFmtId="0" fontId="42" fillId="19" borderId="0" xfId="15" applyFont="1" applyFill="1" applyAlignment="1">
      <alignment horizontal="center" vertical="top" wrapText="1"/>
    </xf>
    <xf numFmtId="0" fontId="33" fillId="19" borderId="16" xfId="15" applyFont="1" applyFill="1" applyBorder="1" applyAlignment="1">
      <alignment horizontal="center" wrapText="1"/>
    </xf>
    <xf numFmtId="0" fontId="33" fillId="19" borderId="0" xfId="15" applyFont="1" applyFill="1" applyBorder="1" applyAlignment="1">
      <alignment horizontal="center" wrapText="1"/>
    </xf>
    <xf numFmtId="0" fontId="17" fillId="17" borderId="17" xfId="16" applyBorder="1" applyAlignment="1">
      <alignment horizontal="center"/>
    </xf>
    <xf numFmtId="0" fontId="17" fillId="17" borderId="7" xfId="16" applyBorder="1" applyAlignment="1">
      <alignment horizontal="center"/>
    </xf>
    <xf numFmtId="0" fontId="17" fillId="20" borderId="0" xfId="18" applyAlignment="1">
      <alignment horizontal="center" vertical="top" wrapText="1"/>
    </xf>
    <xf numFmtId="0" fontId="13" fillId="20" borderId="0" xfId="18" applyFont="1" applyAlignment="1">
      <alignment horizontal="center" vertical="top" wrapText="1"/>
    </xf>
    <xf numFmtId="0" fontId="0" fillId="0" borderId="16" xfId="0" applyBorder="1" applyAlignment="1">
      <alignment horizontal="center"/>
    </xf>
    <xf numFmtId="0" fontId="0" fillId="20" borderId="0" xfId="18" applyFont="1" applyAlignment="1">
      <alignment horizontal="center" vertical="top" wrapText="1"/>
    </xf>
    <xf numFmtId="0" fontId="0" fillId="0" borderId="16" xfId="0" applyBorder="1" applyAlignment="1">
      <alignment horizontal="left" vertical="center" wrapText="1"/>
    </xf>
    <xf numFmtId="0" fontId="0" fillId="0" borderId="0" xfId="0" applyAlignment="1">
      <alignment horizontal="left" vertical="center" wrapText="1"/>
    </xf>
  </cellXfs>
  <cellStyles count="25">
    <cellStyle name="20% - Accent4" xfId="20" builtinId="42"/>
    <cellStyle name="40% - Accent1" xfId="7" builtinId="31"/>
    <cellStyle name="40% - Accent3" xfId="14" builtinId="39"/>
    <cellStyle name="40% - Accent4" xfId="19" builtinId="43"/>
    <cellStyle name="40% - Accent5" xfId="10" builtinId="47"/>
    <cellStyle name="40% - Accent6" xfId="11" builtinId="51"/>
    <cellStyle name="60% - Accent2" xfId="8" builtinId="36"/>
    <cellStyle name="60% - Accent4" xfId="17" builtinId="44"/>
    <cellStyle name="60% - Accent5" xfId="23" builtinId="48"/>
    <cellStyle name="60% - Accent6" xfId="18" builtinId="52"/>
    <cellStyle name="Accent2" xfId="15" builtinId="33"/>
    <cellStyle name="Accent3" xfId="12" builtinId="37"/>
    <cellStyle name="Accent4" xfId="9" builtinId="41"/>
    <cellStyle name="Accent5" xfId="16" builtinId="45"/>
    <cellStyle name="Bad" xfId="3" builtinId="27"/>
    <cellStyle name="Check Cell" xfId="22" builtinId="23"/>
    <cellStyle name="Explanatory Text" xfId="6" builtinId="53"/>
    <cellStyle name="Good" xfId="4" builtinId="26"/>
    <cellStyle name="Heading 2" xfId="2" builtinId="17"/>
    <cellStyle name="Hyperlink" xfId="13" builtinId="8"/>
    <cellStyle name="Input" xfId="5" builtinId="20"/>
    <cellStyle name="Neutral" xfId="1" builtinId="28"/>
    <cellStyle name="Normal" xfId="0" builtinId="0"/>
    <cellStyle name="Note" xfId="21" builtinId="10"/>
    <cellStyle name="Total" xfId="24" builtinId="25"/>
  </cellStyles>
  <dxfs count="105">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type="path" left="0.5" right="0.5" top="0.5" bottom="0.5">
          <stop position="0">
            <color theme="0"/>
          </stop>
          <stop position="1">
            <color theme="2" tint="-0.74901577806939912"/>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font>
        <strike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strike val="0"/>
        <outline val="0"/>
        <shadow val="0"/>
        <u val="none"/>
        <vertAlign val="baseline"/>
        <sz val="12"/>
        <color rgb="FF000000"/>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35">
          <stop position="0">
            <color theme="0"/>
          </stop>
          <stop position="1">
            <color rgb="FFFF99CC"/>
          </stop>
        </gradientFill>
      </fill>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b val="0"/>
        <i val="0"/>
        <strike val="0"/>
        <condense val="0"/>
        <extend val="0"/>
        <outline val="0"/>
        <shadow val="0"/>
        <u val="none"/>
        <vertAlign val="baseline"/>
        <sz val="12"/>
        <color rgb="FF000000"/>
        <name val="Candara"/>
        <scheme val="none"/>
      </font>
      <fill>
        <patternFill patternType="none">
          <fgColor rgb="FF000000"/>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180">
          <stop position="0">
            <color theme="2" tint="-0.49803155613879818"/>
          </stop>
          <stop position="1">
            <color rgb="FFFFCC00"/>
          </stop>
        </gradientFill>
      </fill>
    </dxf>
    <dxf>
      <fill>
        <gradientFill>
          <stop position="0">
            <color theme="0"/>
          </stop>
          <stop position="1">
            <color rgb="FF92D050"/>
          </stop>
        </gradientFill>
      </fill>
    </dxf>
    <dxf>
      <fill>
        <gradientFill>
          <stop position="0">
            <color theme="0"/>
          </stop>
          <stop position="1">
            <color rgb="FFFF9933"/>
          </stop>
        </gradientFill>
      </fill>
    </dxf>
    <dxf>
      <fill>
        <gradientFill degree="180">
          <stop position="0">
            <color theme="0"/>
          </stop>
          <stop position="1">
            <color rgb="FFFF6699"/>
          </stop>
        </gradientFill>
      </fill>
    </dxf>
    <dxf>
      <font>
        <strike val="0"/>
        <outline val="0"/>
        <shadow val="0"/>
        <u val="none"/>
        <vertAlign val="baseline"/>
        <sz val="12"/>
        <color theme="0"/>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font>
        <b val="0"/>
        <i val="0"/>
        <strike val="0"/>
        <condense val="0"/>
        <extend val="0"/>
        <outline val="0"/>
        <shadow val="0"/>
        <u val="none"/>
        <vertAlign val="baseline"/>
        <sz val="12"/>
        <color rgb="FF000000"/>
        <name val="Candara"/>
        <scheme val="none"/>
      </font>
      <fill>
        <patternFill patternType="none">
          <fgColor rgb="FF000000"/>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45">
          <stop position="0">
            <color theme="0"/>
          </stop>
          <stop position="0.5">
            <color rgb="FF33CC33"/>
          </stop>
          <stop position="1">
            <color theme="0"/>
          </stop>
        </gradientFill>
      </fill>
    </dxf>
    <dxf>
      <fill>
        <gradientFill type="path" left="0.5" right="0.5" top="0.5" bottom="0.5">
          <stop position="0">
            <color theme="0"/>
          </stop>
          <stop position="1">
            <color rgb="FFFF9933"/>
          </stop>
        </gradientFill>
      </fill>
    </dxf>
    <dxf>
      <fill>
        <gradientFill type="path" left="0.5" right="0.5" top="0.5" bottom="0.5">
          <stop position="0">
            <color theme="0"/>
          </stop>
          <stop position="1">
            <color rgb="FFFF7C80"/>
          </stop>
        </gradientFill>
      </fill>
    </dxf>
    <dxf>
      <font>
        <b/>
        <strike val="0"/>
        <outline val="0"/>
        <shadow val="0"/>
        <u val="none"/>
        <vertAlign val="baseline"/>
        <sz val="12"/>
        <color theme="0"/>
        <name val="Agency FB"/>
        <scheme val="none"/>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border outline="0">
        <bottom style="thin">
          <color rgb="FF000000"/>
        </bottom>
      </border>
    </dxf>
    <dxf>
      <font>
        <b val="0"/>
        <i val="0"/>
        <strike val="0"/>
        <condense val="0"/>
        <extend val="0"/>
        <outline val="0"/>
        <shadow val="0"/>
        <u val="none"/>
        <vertAlign val="baseline"/>
        <sz val="12"/>
        <color rgb="FF000000"/>
        <name val="Candara"/>
        <scheme val="none"/>
      </font>
      <fill>
        <patternFill patternType="none">
          <fgColor rgb="FF000000"/>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degree="45">
          <stop position="0">
            <color theme="0"/>
          </stop>
          <stop position="0.5">
            <color rgb="FF33CC33"/>
          </stop>
          <stop position="1">
            <color theme="0"/>
          </stop>
        </gradientFill>
      </fill>
    </dxf>
    <dxf>
      <fill>
        <gradientFill type="path" left="0.5" right="0.5" top="0.5" bottom="0.5">
          <stop position="0">
            <color theme="0"/>
          </stop>
          <stop position="1">
            <color rgb="FFFF9933"/>
          </stop>
        </gradientFill>
      </fill>
    </dxf>
    <dxf>
      <fill>
        <gradientFill type="path" left="0.5" right="0.5" top="0.5" bottom="0.5">
          <stop position="0">
            <color theme="0"/>
          </stop>
          <stop position="1">
            <color rgb="FFFF7C80"/>
          </stop>
        </gradientFill>
      </fill>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2"/>
        <color theme="1"/>
        <name val="Candara"/>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ndara"/>
        <scheme val="none"/>
      </font>
      <alignment horizontal="center" vertical="bottom" textRotation="0" wrapText="0" indent="0" justifyLastLine="0" shrinkToFit="0" readingOrder="0"/>
    </dxf>
    <dxf>
      <fill>
        <gradientFill type="path">
          <stop position="0">
            <color theme="0"/>
          </stop>
          <stop position="1">
            <color rgb="FF00FF99"/>
          </stop>
        </gradientFill>
      </fill>
    </dxf>
    <dxf>
      <fill>
        <gradientFill degree="135">
          <stop position="0">
            <color theme="2" tint="-9.8025452436902985E-2"/>
          </stop>
          <stop position="1">
            <color rgb="FFFF6699"/>
          </stop>
        </gradientFill>
      </fill>
    </dxf>
    <dxf>
      <fill>
        <patternFill>
          <bgColor theme="9" tint="0.39994506668294322"/>
        </patternFill>
      </fill>
    </dxf>
    <dxf>
      <font>
        <color rgb="FF006100"/>
      </font>
      <fill>
        <patternFill>
          <bgColor rgb="FFC6EFCE"/>
        </patternFill>
      </fill>
    </dxf>
    <dxf>
      <font>
        <color rgb="FF006100"/>
      </font>
      <fill>
        <patternFill>
          <bgColor rgb="FFC6EFCE"/>
        </patternFill>
      </fill>
    </dxf>
    <dxf>
      <fill>
        <patternFill>
          <bgColor rgb="FFFFC7CE"/>
        </patternFill>
      </fill>
    </dxf>
    <dxf>
      <border>
        <left style="thin">
          <color rgb="FF9C0006"/>
        </left>
        <right style="thin">
          <color rgb="FF9C0006"/>
        </right>
        <top style="thin">
          <color rgb="FF9C0006"/>
        </top>
        <bottom style="thin">
          <color rgb="FF9C0006"/>
        </bottom>
        <vertical/>
        <horizontal/>
      </border>
    </dxf>
    <dxf>
      <fill>
        <patternFill>
          <bgColor rgb="FFFFC7CE"/>
        </patternFill>
      </fill>
    </dxf>
    <dxf>
      <border>
        <left style="thin">
          <color rgb="FF9C0006"/>
        </left>
        <right style="thin">
          <color rgb="FF9C0006"/>
        </right>
        <top style="thin">
          <color rgb="FF9C0006"/>
        </top>
        <bottom style="thin">
          <color rgb="FF9C0006"/>
        </bottom>
        <vertical/>
        <horizontal/>
      </border>
    </dxf>
    <dxf>
      <font>
        <color rgb="FF006100"/>
      </font>
      <fill>
        <patternFill>
          <bgColor rgb="FFC6EFCE"/>
        </patternFill>
      </fill>
    </dxf>
    <dxf>
      <font>
        <color rgb="FF006100"/>
      </font>
      <fill>
        <patternFill>
          <bgColor rgb="FFC6EFCE"/>
        </patternFill>
      </fill>
    </dxf>
    <dxf>
      <fill>
        <patternFill>
          <bgColor theme="9" tint="0.39994506668294322"/>
        </patternFill>
      </fill>
    </dxf>
    <dxf>
      <fill>
        <patternFill>
          <bgColor theme="7" tint="0.39994506668294322"/>
        </patternFill>
      </fill>
    </dxf>
  </dxfs>
  <tableStyles count="2" defaultTableStyle="TableStyleMedium2" defaultPivotStyle="PivotStyleMedium9">
    <tableStyle name="Table Style 1" pivot="0" count="0"/>
    <tableStyle name="Table Style 2" pivot="0" count="1">
      <tableStyleElement type="secondRowStripe" dxfId="104"/>
    </tableStyle>
  </tableStyles>
  <colors>
    <mruColors>
      <color rgb="FFFF99CC"/>
      <color rgb="FFCC99FF"/>
      <color rgb="FFFF9966"/>
      <color rgb="FFFF9999"/>
      <color rgb="FFFFCC00"/>
      <color rgb="FFFF9933"/>
      <color rgb="FFFF6699"/>
      <color rgb="FFFF66CC"/>
      <color rgb="FFFF7C80"/>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1783215650232274E-2"/>
          <c:y val="0.17592476489028214"/>
          <c:w val="0.9442736492955216"/>
          <c:h val="0.68551724137931036"/>
        </c:manualLayout>
      </c:layout>
      <c:lineChart>
        <c:grouping val="stacked"/>
        <c:varyColors val="0"/>
        <c:ser>
          <c:idx val="0"/>
          <c:order val="0"/>
          <c:tx>
            <c:strRef>
              <c:f>'1.jan-2025'!$B$1</c:f>
              <c:strCache>
                <c:ptCount val="1"/>
                <c:pt idx="0">
                  <c:v>hours studied</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'1.jan-2025'!$A$3:$A$32</c:f>
              <c:numCache>
                <c:formatCode>d\-mmm</c:formatCode>
                <c:ptCount val="30"/>
                <c:pt idx="0">
                  <c:v>45658</c:v>
                </c:pt>
                <c:pt idx="1">
                  <c:v>45659</c:v>
                </c:pt>
                <c:pt idx="2">
                  <c:v>45660</c:v>
                </c:pt>
                <c:pt idx="3">
                  <c:v>45661</c:v>
                </c:pt>
                <c:pt idx="4">
                  <c:v>45662</c:v>
                </c:pt>
                <c:pt idx="5">
                  <c:v>45663</c:v>
                </c:pt>
                <c:pt idx="6">
                  <c:v>45664</c:v>
                </c:pt>
                <c:pt idx="7">
                  <c:v>45665</c:v>
                </c:pt>
                <c:pt idx="8">
                  <c:v>45666</c:v>
                </c:pt>
                <c:pt idx="9">
                  <c:v>45667</c:v>
                </c:pt>
                <c:pt idx="10">
                  <c:v>45668</c:v>
                </c:pt>
                <c:pt idx="11">
                  <c:v>45669</c:v>
                </c:pt>
                <c:pt idx="12">
                  <c:v>45670</c:v>
                </c:pt>
                <c:pt idx="13">
                  <c:v>45671</c:v>
                </c:pt>
                <c:pt idx="14">
                  <c:v>45672</c:v>
                </c:pt>
                <c:pt idx="15">
                  <c:v>45673</c:v>
                </c:pt>
                <c:pt idx="16">
                  <c:v>45674</c:v>
                </c:pt>
                <c:pt idx="17">
                  <c:v>45675</c:v>
                </c:pt>
                <c:pt idx="18">
                  <c:v>45676</c:v>
                </c:pt>
                <c:pt idx="19">
                  <c:v>45677</c:v>
                </c:pt>
                <c:pt idx="20">
                  <c:v>45678</c:v>
                </c:pt>
                <c:pt idx="21">
                  <c:v>45679</c:v>
                </c:pt>
                <c:pt idx="22">
                  <c:v>45680</c:v>
                </c:pt>
                <c:pt idx="23">
                  <c:v>45681</c:v>
                </c:pt>
                <c:pt idx="24">
                  <c:v>45682</c:v>
                </c:pt>
                <c:pt idx="25">
                  <c:v>45683</c:v>
                </c:pt>
                <c:pt idx="26">
                  <c:v>45684</c:v>
                </c:pt>
                <c:pt idx="27">
                  <c:v>45685</c:v>
                </c:pt>
                <c:pt idx="28">
                  <c:v>45686</c:v>
                </c:pt>
                <c:pt idx="29">
                  <c:v>45687</c:v>
                </c:pt>
              </c:numCache>
            </c:numRef>
          </c:cat>
          <c:val>
            <c:numRef>
              <c:f>'1.jan-2025'!$B$3:$B$32</c:f>
              <c:numCache>
                <c:formatCode>General</c:formatCode>
                <c:ptCount val="30"/>
                <c:pt idx="0">
                  <c:v>4.5</c:v>
                </c:pt>
                <c:pt idx="1">
                  <c:v>2</c:v>
                </c:pt>
                <c:pt idx="2">
                  <c:v>2</c:v>
                </c:pt>
                <c:pt idx="3">
                  <c:v>4</c:v>
                </c:pt>
                <c:pt idx="4">
                  <c:v>2.5</c:v>
                </c:pt>
                <c:pt idx="5">
                  <c:v>2.5</c:v>
                </c:pt>
                <c:pt idx="6">
                  <c:v>3</c:v>
                </c:pt>
                <c:pt idx="7">
                  <c:v>2</c:v>
                </c:pt>
                <c:pt idx="8">
                  <c:v>2</c:v>
                </c:pt>
                <c:pt idx="9">
                  <c:v>0</c:v>
                </c:pt>
                <c:pt idx="10">
                  <c:v>3</c:v>
                </c:pt>
                <c:pt idx="11">
                  <c:v>2.5</c:v>
                </c:pt>
                <c:pt idx="12">
                  <c:v>5</c:v>
                </c:pt>
                <c:pt idx="13">
                  <c:v>0</c:v>
                </c:pt>
                <c:pt idx="15">
                  <c:v>5.5</c:v>
                </c:pt>
                <c:pt idx="16">
                  <c:v>5.5</c:v>
                </c:pt>
                <c:pt idx="17">
                  <c:v>1</c:v>
                </c:pt>
                <c:pt idx="18">
                  <c:v>4</c:v>
                </c:pt>
                <c:pt idx="19">
                  <c:v>6.5</c:v>
                </c:pt>
                <c:pt idx="20">
                  <c:v>2.5</c:v>
                </c:pt>
                <c:pt idx="21">
                  <c:v>3</c:v>
                </c:pt>
                <c:pt idx="22">
                  <c:v>0</c:v>
                </c:pt>
                <c:pt idx="23">
                  <c:v>2</c:v>
                </c:pt>
                <c:pt idx="24">
                  <c:v>2.5</c:v>
                </c:pt>
                <c:pt idx="25">
                  <c:v>5</c:v>
                </c:pt>
                <c:pt idx="26">
                  <c:v>5</c:v>
                </c:pt>
                <c:pt idx="27">
                  <c:v>1</c:v>
                </c:pt>
                <c:pt idx="28">
                  <c:v>1</c:v>
                </c:pt>
                <c:pt idx="29">
                  <c:v>3</c:v>
                </c:pt>
              </c:numCache>
            </c:numRef>
          </c:val>
          <c:smooth val="0"/>
        </c:ser>
        <c:dLbls>
          <c:showLegendKey val="0"/>
          <c:showVal val="0"/>
          <c:showCatName val="0"/>
          <c:showSerName val="0"/>
          <c:showPercent val="0"/>
          <c:showBubbleSize val="0"/>
        </c:dLbls>
        <c:marker val="1"/>
        <c:smooth val="0"/>
        <c:axId val="-267187984"/>
        <c:axId val="-267182000"/>
      </c:lineChart>
      <c:dateAx>
        <c:axId val="-267187984"/>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82000"/>
        <c:crosses val="autoZero"/>
        <c:auto val="1"/>
        <c:lblOffset val="100"/>
        <c:baseTimeUnit val="days"/>
      </c:dateAx>
      <c:valAx>
        <c:axId val="-26718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187984"/>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'2.feb'!$A$3:$A$30</c:f>
              <c:numCache>
                <c:formatCode>d\-mmm</c:formatCode>
                <c:ptCount val="28"/>
                <c:pt idx="0">
                  <c:v>45689</c:v>
                </c:pt>
                <c:pt idx="1">
                  <c:v>45690</c:v>
                </c:pt>
                <c:pt idx="2">
                  <c:v>45691</c:v>
                </c:pt>
                <c:pt idx="3">
                  <c:v>45692</c:v>
                </c:pt>
                <c:pt idx="4">
                  <c:v>45693</c:v>
                </c:pt>
                <c:pt idx="5">
                  <c:v>45694</c:v>
                </c:pt>
                <c:pt idx="6">
                  <c:v>45695</c:v>
                </c:pt>
                <c:pt idx="7">
                  <c:v>45696</c:v>
                </c:pt>
                <c:pt idx="8">
                  <c:v>45697</c:v>
                </c:pt>
                <c:pt idx="9">
                  <c:v>45698</c:v>
                </c:pt>
                <c:pt idx="10">
                  <c:v>45699</c:v>
                </c:pt>
                <c:pt idx="11">
                  <c:v>45700</c:v>
                </c:pt>
                <c:pt idx="12">
                  <c:v>45701</c:v>
                </c:pt>
                <c:pt idx="13">
                  <c:v>45702</c:v>
                </c:pt>
                <c:pt idx="14">
                  <c:v>45703</c:v>
                </c:pt>
                <c:pt idx="15">
                  <c:v>45704</c:v>
                </c:pt>
                <c:pt idx="16">
                  <c:v>45705</c:v>
                </c:pt>
                <c:pt idx="17">
                  <c:v>45706</c:v>
                </c:pt>
                <c:pt idx="18">
                  <c:v>45707</c:v>
                </c:pt>
                <c:pt idx="19">
                  <c:v>45708</c:v>
                </c:pt>
                <c:pt idx="20">
                  <c:v>45709</c:v>
                </c:pt>
                <c:pt idx="21">
                  <c:v>45710</c:v>
                </c:pt>
                <c:pt idx="22">
                  <c:v>45711</c:v>
                </c:pt>
                <c:pt idx="23">
                  <c:v>45712</c:v>
                </c:pt>
                <c:pt idx="24">
                  <c:v>45713</c:v>
                </c:pt>
                <c:pt idx="25">
                  <c:v>45714</c:v>
                </c:pt>
                <c:pt idx="26">
                  <c:v>45715</c:v>
                </c:pt>
                <c:pt idx="27">
                  <c:v>45716</c:v>
                </c:pt>
              </c:numCache>
            </c:numRef>
          </c:cat>
          <c:val>
            <c:numRef>
              <c:f>'2.feb'!$B$3:$B$30</c:f>
              <c:numCache>
                <c:formatCode>General</c:formatCode>
                <c:ptCount val="28"/>
                <c:pt idx="0">
                  <c:v>2.5</c:v>
                </c:pt>
                <c:pt idx="1">
                  <c:v>4.5</c:v>
                </c:pt>
                <c:pt idx="2">
                  <c:v>5</c:v>
                </c:pt>
                <c:pt idx="3">
                  <c:v>4</c:v>
                </c:pt>
                <c:pt idx="4">
                  <c:v>3</c:v>
                </c:pt>
                <c:pt idx="5">
                  <c:v>1.5</c:v>
                </c:pt>
                <c:pt idx="6">
                  <c:v>1</c:v>
                </c:pt>
                <c:pt idx="7">
                  <c:v>4.5</c:v>
                </c:pt>
                <c:pt idx="8">
                  <c:v>7</c:v>
                </c:pt>
                <c:pt idx="9">
                  <c:v>1</c:v>
                </c:pt>
                <c:pt idx="10">
                  <c:v>3</c:v>
                </c:pt>
                <c:pt idx="11">
                  <c:v>2.5</c:v>
                </c:pt>
                <c:pt idx="12">
                  <c:v>3</c:v>
                </c:pt>
                <c:pt idx="13">
                  <c:v>3.5</c:v>
                </c:pt>
                <c:pt idx="14">
                  <c:v>1</c:v>
                </c:pt>
                <c:pt idx="15">
                  <c:v>0</c:v>
                </c:pt>
                <c:pt idx="16">
                  <c:v>3.5</c:v>
                </c:pt>
                <c:pt idx="17">
                  <c:v>1</c:v>
                </c:pt>
                <c:pt idx="18">
                  <c:v>0.5</c:v>
                </c:pt>
                <c:pt idx="19">
                  <c:v>4.75</c:v>
                </c:pt>
                <c:pt idx="20">
                  <c:v>4.5</c:v>
                </c:pt>
                <c:pt idx="22">
                  <c:v>0</c:v>
                </c:pt>
                <c:pt idx="25">
                  <c:v>4</c:v>
                </c:pt>
                <c:pt idx="26">
                  <c:v>7.5</c:v>
                </c:pt>
                <c:pt idx="27">
                  <c:v>1</c:v>
                </c:pt>
              </c:numCache>
            </c:numRef>
          </c:val>
          <c:smooth val="0"/>
        </c:ser>
        <c:dLbls>
          <c:dLblPos val="ctr"/>
          <c:showLegendKey val="0"/>
          <c:showVal val="1"/>
          <c:showCatName val="0"/>
          <c:showSerName val="0"/>
          <c:showPercent val="0"/>
          <c:showBubbleSize val="0"/>
        </c:dLbls>
        <c:smooth val="0"/>
        <c:axId val="-267176016"/>
        <c:axId val="-267178192"/>
      </c:lineChart>
      <c:dateAx>
        <c:axId val="-267176016"/>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178192"/>
        <c:crosses val="autoZero"/>
        <c:auto val="1"/>
        <c:lblOffset val="100"/>
        <c:baseTimeUnit val="days"/>
      </c:dateAx>
      <c:valAx>
        <c:axId val="-2671781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176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'3. march'!$A$6:$A$33</c:f>
              <c:numCache>
                <c:formatCode>d\-mmm</c:formatCode>
                <c:ptCount val="28"/>
                <c:pt idx="0">
                  <c:v>45720</c:v>
                </c:pt>
                <c:pt idx="1">
                  <c:v>45721</c:v>
                </c:pt>
                <c:pt idx="2">
                  <c:v>45722</c:v>
                </c:pt>
                <c:pt idx="3">
                  <c:v>45723</c:v>
                </c:pt>
                <c:pt idx="4">
                  <c:v>45724</c:v>
                </c:pt>
                <c:pt idx="5">
                  <c:v>45725</c:v>
                </c:pt>
                <c:pt idx="6">
                  <c:v>45726</c:v>
                </c:pt>
                <c:pt idx="7">
                  <c:v>45727</c:v>
                </c:pt>
                <c:pt idx="8">
                  <c:v>45728</c:v>
                </c:pt>
                <c:pt idx="9">
                  <c:v>45729</c:v>
                </c:pt>
                <c:pt idx="10">
                  <c:v>45730</c:v>
                </c:pt>
                <c:pt idx="11">
                  <c:v>45731</c:v>
                </c:pt>
                <c:pt idx="12">
                  <c:v>45732</c:v>
                </c:pt>
                <c:pt idx="13">
                  <c:v>45733</c:v>
                </c:pt>
                <c:pt idx="14">
                  <c:v>45734</c:v>
                </c:pt>
                <c:pt idx="15">
                  <c:v>45735</c:v>
                </c:pt>
                <c:pt idx="16">
                  <c:v>45736</c:v>
                </c:pt>
                <c:pt idx="17">
                  <c:v>45737</c:v>
                </c:pt>
                <c:pt idx="18">
                  <c:v>45738</c:v>
                </c:pt>
                <c:pt idx="19">
                  <c:v>45739</c:v>
                </c:pt>
                <c:pt idx="20">
                  <c:v>45740</c:v>
                </c:pt>
                <c:pt idx="21">
                  <c:v>45741</c:v>
                </c:pt>
                <c:pt idx="22">
                  <c:v>45742</c:v>
                </c:pt>
                <c:pt idx="23">
                  <c:v>45743</c:v>
                </c:pt>
                <c:pt idx="24">
                  <c:v>45744</c:v>
                </c:pt>
                <c:pt idx="25">
                  <c:v>45745</c:v>
                </c:pt>
                <c:pt idx="26">
                  <c:v>45746</c:v>
                </c:pt>
                <c:pt idx="27">
                  <c:v>45747</c:v>
                </c:pt>
              </c:numCache>
            </c:numRef>
          </c:cat>
          <c:val>
            <c:numRef>
              <c:f>'3. march'!$B$6:$B$33</c:f>
              <c:numCache>
                <c:formatCode>General</c:formatCode>
                <c:ptCount val="28"/>
                <c:pt idx="0">
                  <c:v>2.5</c:v>
                </c:pt>
                <c:pt idx="1">
                  <c:v>3</c:v>
                </c:pt>
                <c:pt idx="2">
                  <c:v>4.5</c:v>
                </c:pt>
                <c:pt idx="3">
                  <c:v>7.25</c:v>
                </c:pt>
                <c:pt idx="4">
                  <c:v>0</c:v>
                </c:pt>
                <c:pt idx="5">
                  <c:v>3.25</c:v>
                </c:pt>
                <c:pt idx="6">
                  <c:v>3</c:v>
                </c:pt>
                <c:pt idx="7">
                  <c:v>2.5</c:v>
                </c:pt>
                <c:pt idx="8">
                  <c:v>2.25</c:v>
                </c:pt>
                <c:pt idx="9">
                  <c:v>0</c:v>
                </c:pt>
                <c:pt idx="10">
                  <c:v>0</c:v>
                </c:pt>
                <c:pt idx="11">
                  <c:v>4</c:v>
                </c:pt>
                <c:pt idx="12">
                  <c:v>0</c:v>
                </c:pt>
                <c:pt idx="13">
                  <c:v>0</c:v>
                </c:pt>
                <c:pt idx="14">
                  <c:v>1</c:v>
                </c:pt>
                <c:pt idx="15">
                  <c:v>2.25</c:v>
                </c:pt>
                <c:pt idx="16">
                  <c:v>0</c:v>
                </c:pt>
                <c:pt idx="17">
                  <c:v>0</c:v>
                </c:pt>
                <c:pt idx="18">
                  <c:v>2.5</c:v>
                </c:pt>
                <c:pt idx="19">
                  <c:v>0</c:v>
                </c:pt>
                <c:pt idx="20">
                  <c:v>0</c:v>
                </c:pt>
                <c:pt idx="21">
                  <c:v>0</c:v>
                </c:pt>
                <c:pt idx="22">
                  <c:v>3</c:v>
                </c:pt>
                <c:pt idx="23">
                  <c:v>0.75</c:v>
                </c:pt>
                <c:pt idx="24">
                  <c:v>0</c:v>
                </c:pt>
                <c:pt idx="25">
                  <c:v>0</c:v>
                </c:pt>
                <c:pt idx="26">
                  <c:v>1.5</c:v>
                </c:pt>
                <c:pt idx="27">
                  <c:v>4.75</c:v>
                </c:pt>
              </c:numCache>
            </c:numRef>
          </c:val>
          <c:smooth val="0"/>
        </c:ser>
        <c:dLbls>
          <c:dLblPos val="ctr"/>
          <c:showLegendKey val="0"/>
          <c:showVal val="1"/>
          <c:showCatName val="0"/>
          <c:showSerName val="0"/>
          <c:showPercent val="0"/>
          <c:showBubbleSize val="0"/>
        </c:dLbls>
        <c:smooth val="0"/>
        <c:axId val="-267172752"/>
        <c:axId val="-267187440"/>
      </c:lineChart>
      <c:dateAx>
        <c:axId val="-267172752"/>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187440"/>
        <c:crosses val="autoZero"/>
        <c:auto val="1"/>
        <c:lblOffset val="100"/>
        <c:baseTimeUnit val="days"/>
      </c:dateAx>
      <c:valAx>
        <c:axId val="-2671874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172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'4.april'!$A$6:$A$33</c:f>
              <c:numCache>
                <c:formatCode>d\-mmm</c:formatCode>
                <c:ptCount val="28"/>
                <c:pt idx="0">
                  <c:v>45720</c:v>
                </c:pt>
                <c:pt idx="1">
                  <c:v>45721</c:v>
                </c:pt>
                <c:pt idx="2">
                  <c:v>45722</c:v>
                </c:pt>
                <c:pt idx="3">
                  <c:v>45723</c:v>
                </c:pt>
                <c:pt idx="4">
                  <c:v>45724</c:v>
                </c:pt>
                <c:pt idx="5">
                  <c:v>45725</c:v>
                </c:pt>
                <c:pt idx="6">
                  <c:v>45726</c:v>
                </c:pt>
                <c:pt idx="7">
                  <c:v>45727</c:v>
                </c:pt>
                <c:pt idx="8">
                  <c:v>45728</c:v>
                </c:pt>
                <c:pt idx="9">
                  <c:v>45729</c:v>
                </c:pt>
                <c:pt idx="10">
                  <c:v>45730</c:v>
                </c:pt>
                <c:pt idx="11">
                  <c:v>45731</c:v>
                </c:pt>
                <c:pt idx="12">
                  <c:v>45732</c:v>
                </c:pt>
                <c:pt idx="13">
                  <c:v>45733</c:v>
                </c:pt>
                <c:pt idx="14">
                  <c:v>45734</c:v>
                </c:pt>
                <c:pt idx="15">
                  <c:v>45735</c:v>
                </c:pt>
                <c:pt idx="16">
                  <c:v>45736</c:v>
                </c:pt>
                <c:pt idx="17">
                  <c:v>45737</c:v>
                </c:pt>
                <c:pt idx="18">
                  <c:v>45738</c:v>
                </c:pt>
                <c:pt idx="19">
                  <c:v>45739</c:v>
                </c:pt>
                <c:pt idx="20">
                  <c:v>45740</c:v>
                </c:pt>
                <c:pt idx="21">
                  <c:v>45741</c:v>
                </c:pt>
                <c:pt idx="22">
                  <c:v>45742</c:v>
                </c:pt>
                <c:pt idx="23">
                  <c:v>45743</c:v>
                </c:pt>
                <c:pt idx="24">
                  <c:v>45744</c:v>
                </c:pt>
                <c:pt idx="25">
                  <c:v>45745</c:v>
                </c:pt>
                <c:pt idx="26">
                  <c:v>45746</c:v>
                </c:pt>
                <c:pt idx="27">
                  <c:v>45747</c:v>
                </c:pt>
              </c:numCache>
            </c:numRef>
          </c:cat>
          <c:val>
            <c:numRef>
              <c:f>'4.april'!$B$6:$B$33</c:f>
              <c:numCache>
                <c:formatCode>General</c:formatCode>
                <c:ptCount val="28"/>
                <c:pt idx="0">
                  <c:v>0</c:v>
                </c:pt>
                <c:pt idx="1">
                  <c:v>0</c:v>
                </c:pt>
                <c:pt idx="2">
                  <c:v>0</c:v>
                </c:pt>
                <c:pt idx="3">
                  <c:v>0</c:v>
                </c:pt>
                <c:pt idx="4">
                  <c:v>1.5</c:v>
                </c:pt>
                <c:pt idx="5">
                  <c:v>1</c:v>
                </c:pt>
                <c:pt idx="6">
                  <c:v>1</c:v>
                </c:pt>
                <c:pt idx="7">
                  <c:v>0</c:v>
                </c:pt>
                <c:pt idx="8">
                  <c:v>0</c:v>
                </c:pt>
                <c:pt idx="9">
                  <c:v>5.25</c:v>
                </c:pt>
                <c:pt idx="10">
                  <c:v>0</c:v>
                </c:pt>
                <c:pt idx="11">
                  <c:v>0</c:v>
                </c:pt>
                <c:pt idx="12">
                  <c:v>0</c:v>
                </c:pt>
                <c:pt idx="13">
                  <c:v>0</c:v>
                </c:pt>
                <c:pt idx="14">
                  <c:v>0</c:v>
                </c:pt>
                <c:pt idx="15">
                  <c:v>0</c:v>
                </c:pt>
                <c:pt idx="16">
                  <c:v>0</c:v>
                </c:pt>
                <c:pt idx="17">
                  <c:v>0</c:v>
                </c:pt>
                <c:pt idx="18">
                  <c:v>0</c:v>
                </c:pt>
                <c:pt idx="19">
                  <c:v>0</c:v>
                </c:pt>
                <c:pt idx="20">
                  <c:v>3</c:v>
                </c:pt>
                <c:pt idx="21">
                  <c:v>3</c:v>
                </c:pt>
                <c:pt idx="22">
                  <c:v>1.5</c:v>
                </c:pt>
                <c:pt idx="23">
                  <c:v>2.5</c:v>
                </c:pt>
                <c:pt idx="24">
                  <c:v>0</c:v>
                </c:pt>
                <c:pt idx="25">
                  <c:v>2.5</c:v>
                </c:pt>
                <c:pt idx="26">
                  <c:v>2.5</c:v>
                </c:pt>
              </c:numCache>
            </c:numRef>
          </c:val>
          <c:smooth val="0"/>
        </c:ser>
        <c:dLbls>
          <c:dLblPos val="ctr"/>
          <c:showLegendKey val="0"/>
          <c:showVal val="1"/>
          <c:showCatName val="0"/>
          <c:showSerName val="0"/>
          <c:showPercent val="0"/>
          <c:showBubbleSize val="0"/>
        </c:dLbls>
        <c:smooth val="0"/>
        <c:axId val="-267174384"/>
        <c:axId val="-267184176"/>
      </c:lineChart>
      <c:dateAx>
        <c:axId val="-26717438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184176"/>
        <c:crosses val="autoZero"/>
        <c:auto val="1"/>
        <c:lblOffset val="100"/>
        <c:baseTimeUnit val="days"/>
      </c:dateAx>
      <c:valAx>
        <c:axId val="-26718417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174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'5.may'!$A$6:$A$33</c:f>
              <c:numCache>
                <c:formatCode>d\-mmm</c:formatCode>
                <c:ptCount val="28"/>
                <c:pt idx="0">
                  <c:v>45781</c:v>
                </c:pt>
                <c:pt idx="1">
                  <c:v>45782</c:v>
                </c:pt>
                <c:pt idx="2">
                  <c:v>45783</c:v>
                </c:pt>
                <c:pt idx="3">
                  <c:v>45784</c:v>
                </c:pt>
                <c:pt idx="4">
                  <c:v>45785</c:v>
                </c:pt>
                <c:pt idx="5">
                  <c:v>45786</c:v>
                </c:pt>
                <c:pt idx="6">
                  <c:v>45787</c:v>
                </c:pt>
                <c:pt idx="7">
                  <c:v>45788</c:v>
                </c:pt>
                <c:pt idx="8">
                  <c:v>45789</c:v>
                </c:pt>
                <c:pt idx="9">
                  <c:v>45790</c:v>
                </c:pt>
                <c:pt idx="10">
                  <c:v>45791</c:v>
                </c:pt>
                <c:pt idx="11">
                  <c:v>45792</c:v>
                </c:pt>
                <c:pt idx="12">
                  <c:v>45793</c:v>
                </c:pt>
                <c:pt idx="13">
                  <c:v>45794</c:v>
                </c:pt>
                <c:pt idx="14">
                  <c:v>45795</c:v>
                </c:pt>
                <c:pt idx="15">
                  <c:v>45796</c:v>
                </c:pt>
                <c:pt idx="16">
                  <c:v>45797</c:v>
                </c:pt>
                <c:pt idx="17">
                  <c:v>45798</c:v>
                </c:pt>
                <c:pt idx="18">
                  <c:v>45799</c:v>
                </c:pt>
                <c:pt idx="19">
                  <c:v>45800</c:v>
                </c:pt>
                <c:pt idx="20">
                  <c:v>45801</c:v>
                </c:pt>
                <c:pt idx="21">
                  <c:v>45802</c:v>
                </c:pt>
                <c:pt idx="22">
                  <c:v>45803</c:v>
                </c:pt>
                <c:pt idx="23">
                  <c:v>45804</c:v>
                </c:pt>
                <c:pt idx="24">
                  <c:v>45805</c:v>
                </c:pt>
                <c:pt idx="25">
                  <c:v>45806</c:v>
                </c:pt>
                <c:pt idx="26">
                  <c:v>45807</c:v>
                </c:pt>
                <c:pt idx="27">
                  <c:v>45808</c:v>
                </c:pt>
              </c:numCache>
            </c:numRef>
          </c:cat>
          <c:val>
            <c:numRef>
              <c:f>'5.may'!$B$6:$B$33</c:f>
              <c:numCache>
                <c:formatCode>General</c:formatCode>
                <c:ptCount val="28"/>
                <c:pt idx="0">
                  <c:v>3.5</c:v>
                </c:pt>
                <c:pt idx="1">
                  <c:v>2.25</c:v>
                </c:pt>
                <c:pt idx="2">
                  <c:v>2</c:v>
                </c:pt>
                <c:pt idx="3">
                  <c:v>1.5</c:v>
                </c:pt>
                <c:pt idx="4">
                  <c:v>3</c:v>
                </c:pt>
                <c:pt idx="5">
                  <c:v>1.5</c:v>
                </c:pt>
                <c:pt idx="6">
                  <c:v>1.25</c:v>
                </c:pt>
                <c:pt idx="7">
                  <c:v>1</c:v>
                </c:pt>
                <c:pt idx="8">
                  <c:v>3</c:v>
                </c:pt>
                <c:pt idx="9">
                  <c:v>4.75</c:v>
                </c:pt>
                <c:pt idx="10">
                  <c:v>2</c:v>
                </c:pt>
                <c:pt idx="11">
                  <c:v>3</c:v>
                </c:pt>
                <c:pt idx="12">
                  <c:v>2.75</c:v>
                </c:pt>
                <c:pt idx="13">
                  <c:v>2.15</c:v>
                </c:pt>
                <c:pt idx="14">
                  <c:v>4.25</c:v>
                </c:pt>
                <c:pt idx="15">
                  <c:v>3.5</c:v>
                </c:pt>
                <c:pt idx="16">
                  <c:v>1.75</c:v>
                </c:pt>
                <c:pt idx="17">
                  <c:v>0</c:v>
                </c:pt>
                <c:pt idx="18">
                  <c:v>0</c:v>
                </c:pt>
                <c:pt idx="19">
                  <c:v>1</c:v>
                </c:pt>
                <c:pt idx="20">
                  <c:v>0</c:v>
                </c:pt>
                <c:pt idx="21">
                  <c:v>3.5</c:v>
                </c:pt>
                <c:pt idx="22">
                  <c:v>0</c:v>
                </c:pt>
                <c:pt idx="23">
                  <c:v>0</c:v>
                </c:pt>
                <c:pt idx="24">
                  <c:v>0</c:v>
                </c:pt>
                <c:pt idx="25">
                  <c:v>2.2000000000000002</c:v>
                </c:pt>
                <c:pt idx="26">
                  <c:v>2.5</c:v>
                </c:pt>
                <c:pt idx="27">
                  <c:v>3</c:v>
                </c:pt>
              </c:numCache>
            </c:numRef>
          </c:val>
          <c:smooth val="0"/>
        </c:ser>
        <c:dLbls>
          <c:dLblPos val="ctr"/>
          <c:showLegendKey val="0"/>
          <c:showVal val="1"/>
          <c:showCatName val="0"/>
          <c:showSerName val="0"/>
          <c:showPercent val="0"/>
          <c:showBubbleSize val="0"/>
        </c:dLbls>
        <c:smooth val="0"/>
        <c:axId val="-267186352"/>
        <c:axId val="-267184720"/>
      </c:lineChart>
      <c:dateAx>
        <c:axId val="-267186352"/>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184720"/>
        <c:crosses val="autoZero"/>
        <c:auto val="1"/>
        <c:lblOffset val="100"/>
        <c:baseTimeUnit val="days"/>
      </c:dateAx>
      <c:valAx>
        <c:axId val="-2671847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7186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'6.june '!$A$6:$A$33</c:f>
              <c:numCache>
                <c:formatCode>d\-mmm</c:formatCode>
                <c:ptCount val="28"/>
                <c:pt idx="0">
                  <c:v>45812</c:v>
                </c:pt>
                <c:pt idx="1">
                  <c:v>45813</c:v>
                </c:pt>
                <c:pt idx="2">
                  <c:v>45814</c:v>
                </c:pt>
                <c:pt idx="3">
                  <c:v>45815</c:v>
                </c:pt>
                <c:pt idx="4">
                  <c:v>45816</c:v>
                </c:pt>
                <c:pt idx="5">
                  <c:v>45817</c:v>
                </c:pt>
                <c:pt idx="6">
                  <c:v>45818</c:v>
                </c:pt>
                <c:pt idx="7">
                  <c:v>45819</c:v>
                </c:pt>
                <c:pt idx="8">
                  <c:v>45820</c:v>
                </c:pt>
                <c:pt idx="9">
                  <c:v>45821</c:v>
                </c:pt>
                <c:pt idx="10">
                  <c:v>45822</c:v>
                </c:pt>
                <c:pt idx="11">
                  <c:v>45823</c:v>
                </c:pt>
                <c:pt idx="12">
                  <c:v>45824</c:v>
                </c:pt>
                <c:pt idx="13">
                  <c:v>45825</c:v>
                </c:pt>
                <c:pt idx="14">
                  <c:v>45826</c:v>
                </c:pt>
                <c:pt idx="15">
                  <c:v>45827</c:v>
                </c:pt>
                <c:pt idx="16">
                  <c:v>45828</c:v>
                </c:pt>
                <c:pt idx="17">
                  <c:v>45829</c:v>
                </c:pt>
                <c:pt idx="18">
                  <c:v>45830</c:v>
                </c:pt>
                <c:pt idx="19">
                  <c:v>45831</c:v>
                </c:pt>
                <c:pt idx="20">
                  <c:v>45832</c:v>
                </c:pt>
                <c:pt idx="21">
                  <c:v>45833</c:v>
                </c:pt>
                <c:pt idx="22">
                  <c:v>45834</c:v>
                </c:pt>
                <c:pt idx="23">
                  <c:v>45835</c:v>
                </c:pt>
                <c:pt idx="24">
                  <c:v>45836</c:v>
                </c:pt>
                <c:pt idx="25">
                  <c:v>45837</c:v>
                </c:pt>
                <c:pt idx="26">
                  <c:v>45838</c:v>
                </c:pt>
              </c:numCache>
            </c:numRef>
          </c:cat>
          <c:val>
            <c:numRef>
              <c:f>'6.june '!$B$6:$B$33</c:f>
              <c:numCache>
                <c:formatCode>General</c:formatCode>
                <c:ptCount val="28"/>
                <c:pt idx="0">
                  <c:v>2</c:v>
                </c:pt>
                <c:pt idx="2">
                  <c:v>0.75</c:v>
                </c:pt>
                <c:pt idx="4">
                  <c:v>1.5</c:v>
                </c:pt>
                <c:pt idx="9">
                  <c:v>1</c:v>
                </c:pt>
                <c:pt idx="11">
                  <c:v>4</c:v>
                </c:pt>
                <c:pt idx="12">
                  <c:v>1</c:v>
                </c:pt>
                <c:pt idx="13">
                  <c:v>2.25</c:v>
                </c:pt>
                <c:pt idx="14">
                  <c:v>1.5</c:v>
                </c:pt>
                <c:pt idx="15">
                  <c:v>0.5</c:v>
                </c:pt>
                <c:pt idx="16">
                  <c:v>1.5</c:v>
                </c:pt>
                <c:pt idx="17">
                  <c:v>2</c:v>
                </c:pt>
                <c:pt idx="18">
                  <c:v>4</c:v>
                </c:pt>
                <c:pt idx="19">
                  <c:v>0</c:v>
                </c:pt>
                <c:pt idx="20">
                  <c:v>0.5</c:v>
                </c:pt>
              </c:numCache>
            </c:numRef>
          </c:val>
          <c:smooth val="0"/>
        </c:ser>
        <c:dLbls>
          <c:dLblPos val="ctr"/>
          <c:showLegendKey val="0"/>
          <c:showVal val="1"/>
          <c:showCatName val="0"/>
          <c:showSerName val="0"/>
          <c:showPercent val="0"/>
          <c:showBubbleSize val="0"/>
        </c:dLbls>
        <c:smooth val="0"/>
        <c:axId val="-399395920"/>
        <c:axId val="-399387216"/>
      </c:lineChart>
      <c:dateAx>
        <c:axId val="-399395920"/>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387216"/>
        <c:crosses val="autoZero"/>
        <c:auto val="1"/>
        <c:lblOffset val="100"/>
        <c:baseTimeUnit val="days"/>
      </c:dateAx>
      <c:valAx>
        <c:axId val="-3993872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3959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'7.july'!$A$3:$A$33</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'7.july'!$B$3:$B$33</c:f>
              <c:numCache>
                <c:formatCode>General</c:formatCode>
                <c:ptCount val="31"/>
                <c:pt idx="0">
                  <c:v>0</c:v>
                </c:pt>
                <c:pt idx="1">
                  <c:v>2.5</c:v>
                </c:pt>
                <c:pt idx="2">
                  <c:v>2</c:v>
                </c:pt>
                <c:pt idx="3">
                  <c:v>1.5</c:v>
                </c:pt>
                <c:pt idx="4">
                  <c:v>0</c:v>
                </c:pt>
                <c:pt idx="5">
                  <c:v>0</c:v>
                </c:pt>
                <c:pt idx="9">
                  <c:v>1</c:v>
                </c:pt>
                <c:pt idx="10">
                  <c:v>2</c:v>
                </c:pt>
                <c:pt idx="12">
                  <c:v>5.5</c:v>
                </c:pt>
                <c:pt idx="13">
                  <c:v>3</c:v>
                </c:pt>
                <c:pt idx="14">
                  <c:v>1.5</c:v>
                </c:pt>
                <c:pt idx="15">
                  <c:v>1.5</c:v>
                </c:pt>
                <c:pt idx="16">
                  <c:v>3</c:v>
                </c:pt>
                <c:pt idx="17">
                  <c:v>2</c:v>
                </c:pt>
                <c:pt idx="18">
                  <c:v>1</c:v>
                </c:pt>
                <c:pt idx="19">
                  <c:v>2</c:v>
                </c:pt>
                <c:pt idx="29">
                  <c:v>0.5</c:v>
                </c:pt>
                <c:pt idx="30">
                  <c:v>2.5</c:v>
                </c:pt>
              </c:numCache>
            </c:numRef>
          </c:val>
          <c:smooth val="0"/>
        </c:ser>
        <c:dLbls>
          <c:dLblPos val="ctr"/>
          <c:showLegendKey val="0"/>
          <c:showVal val="1"/>
          <c:showCatName val="0"/>
          <c:showSerName val="0"/>
          <c:showPercent val="0"/>
          <c:showBubbleSize val="0"/>
        </c:dLbls>
        <c:smooth val="0"/>
        <c:axId val="-399397552"/>
        <c:axId val="-399382320"/>
      </c:lineChart>
      <c:dateAx>
        <c:axId val="-399397552"/>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382320"/>
        <c:crosses val="autoZero"/>
        <c:auto val="1"/>
        <c:lblOffset val="100"/>
        <c:baseTimeUnit val="days"/>
      </c:dateAx>
      <c:valAx>
        <c:axId val="-3993823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397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'8.aug '!$A$3:$A$33</c:f>
              <c:numCache>
                <c:formatCode>d\-mmm</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cat>
          <c:val>
            <c:numRef>
              <c:f>'8.aug '!$B$3:$B$33</c:f>
              <c:numCache>
                <c:formatCode>General</c:formatCode>
                <c:ptCount val="31"/>
                <c:pt idx="24">
                  <c:v>1</c:v>
                </c:pt>
                <c:pt idx="25">
                  <c:v>4</c:v>
                </c:pt>
                <c:pt idx="27">
                  <c:v>2.5</c:v>
                </c:pt>
                <c:pt idx="29">
                  <c:v>2.5</c:v>
                </c:pt>
                <c:pt idx="30">
                  <c:v>6</c:v>
                </c:pt>
              </c:numCache>
            </c:numRef>
          </c:val>
          <c:smooth val="0"/>
        </c:ser>
        <c:dLbls>
          <c:dLblPos val="ctr"/>
          <c:showLegendKey val="0"/>
          <c:showVal val="1"/>
          <c:showCatName val="0"/>
          <c:showSerName val="0"/>
          <c:showPercent val="0"/>
          <c:showBubbleSize val="0"/>
        </c:dLbls>
        <c:smooth val="0"/>
        <c:axId val="-399393744"/>
        <c:axId val="-399392656"/>
      </c:lineChart>
      <c:dateAx>
        <c:axId val="-39939374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392656"/>
        <c:crosses val="autoZero"/>
        <c:auto val="1"/>
        <c:lblOffset val="100"/>
        <c:baseTimeUnit val="days"/>
      </c:dateAx>
      <c:valAx>
        <c:axId val="-3993926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393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numRef>
              <c:f>'9.sept '!$A$3:$A$33</c:f>
              <c:numCache>
                <c:formatCode>d\-mmm</c:formatCode>
                <c:ptCount val="31"/>
                <c:pt idx="0">
                  <c:v>45901</c:v>
                </c:pt>
                <c:pt idx="1">
                  <c:v>45902</c:v>
                </c:pt>
                <c:pt idx="2">
                  <c:v>45903</c:v>
                </c:pt>
                <c:pt idx="3">
                  <c:v>45904</c:v>
                </c:pt>
                <c:pt idx="4">
                  <c:v>45905</c:v>
                </c:pt>
                <c:pt idx="5">
                  <c:v>45906</c:v>
                </c:pt>
                <c:pt idx="6">
                  <c:v>45907</c:v>
                </c:pt>
                <c:pt idx="7">
                  <c:v>45908</c:v>
                </c:pt>
                <c:pt idx="8">
                  <c:v>45909</c:v>
                </c:pt>
                <c:pt idx="9">
                  <c:v>45910</c:v>
                </c:pt>
                <c:pt idx="10">
                  <c:v>45911</c:v>
                </c:pt>
                <c:pt idx="11">
                  <c:v>45912</c:v>
                </c:pt>
                <c:pt idx="12">
                  <c:v>45913</c:v>
                </c:pt>
                <c:pt idx="13">
                  <c:v>45914</c:v>
                </c:pt>
                <c:pt idx="14">
                  <c:v>45915</c:v>
                </c:pt>
                <c:pt idx="15">
                  <c:v>45916</c:v>
                </c:pt>
                <c:pt idx="16">
                  <c:v>45917</c:v>
                </c:pt>
                <c:pt idx="17">
                  <c:v>45918</c:v>
                </c:pt>
                <c:pt idx="18">
                  <c:v>45919</c:v>
                </c:pt>
                <c:pt idx="19">
                  <c:v>45920</c:v>
                </c:pt>
                <c:pt idx="20">
                  <c:v>45921</c:v>
                </c:pt>
                <c:pt idx="21">
                  <c:v>45922</c:v>
                </c:pt>
                <c:pt idx="22">
                  <c:v>45923</c:v>
                </c:pt>
                <c:pt idx="23">
                  <c:v>45924</c:v>
                </c:pt>
                <c:pt idx="24">
                  <c:v>45925</c:v>
                </c:pt>
                <c:pt idx="25">
                  <c:v>45926</c:v>
                </c:pt>
                <c:pt idx="26">
                  <c:v>45927</c:v>
                </c:pt>
                <c:pt idx="27">
                  <c:v>45928</c:v>
                </c:pt>
                <c:pt idx="28">
                  <c:v>45929</c:v>
                </c:pt>
                <c:pt idx="29">
                  <c:v>45930</c:v>
                </c:pt>
              </c:numCache>
            </c:numRef>
          </c:cat>
          <c:val>
            <c:numRef>
              <c:f>'9.sept '!$B$3:$B$33</c:f>
              <c:numCache>
                <c:formatCode>General</c:formatCode>
                <c:ptCount val="31"/>
                <c:pt idx="0">
                  <c:v>4.5</c:v>
                </c:pt>
                <c:pt idx="1">
                  <c:v>4.5</c:v>
                </c:pt>
                <c:pt idx="2">
                  <c:v>1</c:v>
                </c:pt>
                <c:pt idx="5">
                  <c:v>3.5</c:v>
                </c:pt>
                <c:pt idx="6">
                  <c:v>7</c:v>
                </c:pt>
                <c:pt idx="7">
                  <c:v>3.75</c:v>
                </c:pt>
                <c:pt idx="8">
                  <c:v>0</c:v>
                </c:pt>
                <c:pt idx="9">
                  <c:v>5</c:v>
                </c:pt>
                <c:pt idx="10">
                  <c:v>2.25</c:v>
                </c:pt>
                <c:pt idx="11">
                  <c:v>1.5</c:v>
                </c:pt>
                <c:pt idx="12">
                  <c:v>0</c:v>
                </c:pt>
                <c:pt idx="13">
                  <c:v>0</c:v>
                </c:pt>
                <c:pt idx="14">
                  <c:v>3.5</c:v>
                </c:pt>
                <c:pt idx="15">
                  <c:v>0</c:v>
                </c:pt>
                <c:pt idx="16">
                  <c:v>0</c:v>
                </c:pt>
                <c:pt idx="17">
                  <c:v>0</c:v>
                </c:pt>
              </c:numCache>
            </c:numRef>
          </c:val>
          <c:smooth val="0"/>
        </c:ser>
        <c:dLbls>
          <c:dLblPos val="ctr"/>
          <c:showLegendKey val="0"/>
          <c:showVal val="1"/>
          <c:showCatName val="0"/>
          <c:showSerName val="0"/>
          <c:showPercent val="0"/>
          <c:showBubbleSize val="0"/>
        </c:dLbls>
        <c:smooth val="0"/>
        <c:axId val="-399388304"/>
        <c:axId val="-399389392"/>
      </c:lineChart>
      <c:dateAx>
        <c:axId val="-39938830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389392"/>
        <c:crosses val="autoZero"/>
        <c:auto val="1"/>
        <c:lblOffset val="100"/>
        <c:baseTimeUnit val="days"/>
      </c:dateAx>
      <c:valAx>
        <c:axId val="-3993893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9388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numRef>
              <c:f>'10.oct (2)'!$A$3:$A$33</c:f>
              <c:numCache>
                <c:formatCode>d\-mmm</c:formatCode>
                <c:ptCount val="31"/>
                <c:pt idx="0">
                  <c:v>45931</c:v>
                </c:pt>
                <c:pt idx="1">
                  <c:v>45932</c:v>
                </c:pt>
                <c:pt idx="2">
                  <c:v>45933</c:v>
                </c:pt>
                <c:pt idx="3">
                  <c:v>45934</c:v>
                </c:pt>
                <c:pt idx="4">
                  <c:v>45935</c:v>
                </c:pt>
                <c:pt idx="5">
                  <c:v>45936</c:v>
                </c:pt>
                <c:pt idx="6">
                  <c:v>45937</c:v>
                </c:pt>
                <c:pt idx="7">
                  <c:v>45938</c:v>
                </c:pt>
                <c:pt idx="8">
                  <c:v>45939</c:v>
                </c:pt>
                <c:pt idx="9">
                  <c:v>45940</c:v>
                </c:pt>
                <c:pt idx="10">
                  <c:v>45941</c:v>
                </c:pt>
                <c:pt idx="11">
                  <c:v>45942</c:v>
                </c:pt>
                <c:pt idx="12">
                  <c:v>45943</c:v>
                </c:pt>
                <c:pt idx="13">
                  <c:v>45944</c:v>
                </c:pt>
                <c:pt idx="14">
                  <c:v>45945</c:v>
                </c:pt>
                <c:pt idx="15">
                  <c:v>45946</c:v>
                </c:pt>
                <c:pt idx="16">
                  <c:v>45947</c:v>
                </c:pt>
                <c:pt idx="17">
                  <c:v>45948</c:v>
                </c:pt>
                <c:pt idx="18">
                  <c:v>45949</c:v>
                </c:pt>
                <c:pt idx="19">
                  <c:v>45950</c:v>
                </c:pt>
                <c:pt idx="20">
                  <c:v>45951</c:v>
                </c:pt>
                <c:pt idx="21">
                  <c:v>45952</c:v>
                </c:pt>
                <c:pt idx="22">
                  <c:v>45953</c:v>
                </c:pt>
                <c:pt idx="23">
                  <c:v>45954</c:v>
                </c:pt>
                <c:pt idx="24">
                  <c:v>45955</c:v>
                </c:pt>
                <c:pt idx="25">
                  <c:v>45956</c:v>
                </c:pt>
                <c:pt idx="26">
                  <c:v>45957</c:v>
                </c:pt>
                <c:pt idx="27">
                  <c:v>45958</c:v>
                </c:pt>
                <c:pt idx="28">
                  <c:v>45959</c:v>
                </c:pt>
                <c:pt idx="29">
                  <c:v>45960</c:v>
                </c:pt>
                <c:pt idx="30">
                  <c:v>45961</c:v>
                </c:pt>
              </c:numCache>
            </c:numRef>
          </c:cat>
          <c:val>
            <c:numRef>
              <c:f>'10.oct (2)'!$B$3:$B$33</c:f>
              <c:numCache>
                <c:formatCode>General</c:formatCode>
                <c:ptCount val="31"/>
                <c:pt idx="6">
                  <c:v>3</c:v>
                </c:pt>
                <c:pt idx="10">
                  <c:v>1.5</c:v>
                </c:pt>
                <c:pt idx="11">
                  <c:v>2.5</c:v>
                </c:pt>
                <c:pt idx="12">
                  <c:v>1.5</c:v>
                </c:pt>
                <c:pt idx="18">
                  <c:v>4.5</c:v>
                </c:pt>
                <c:pt idx="19">
                  <c:v>1.5</c:v>
                </c:pt>
                <c:pt idx="23">
                  <c:v>1.5</c:v>
                </c:pt>
                <c:pt idx="24">
                  <c:v>2.5</c:v>
                </c:pt>
                <c:pt idx="25">
                  <c:v>1.5</c:v>
                </c:pt>
                <c:pt idx="30">
                  <c:v>2</c:v>
                </c:pt>
              </c:numCache>
            </c:numRef>
          </c:val>
          <c:smooth val="0"/>
        </c:ser>
        <c:dLbls>
          <c:dLblPos val="ctr"/>
          <c:showLegendKey val="0"/>
          <c:showVal val="1"/>
          <c:showCatName val="0"/>
          <c:showSerName val="0"/>
          <c:showPercent val="0"/>
          <c:showBubbleSize val="0"/>
        </c:dLbls>
        <c:smooth val="0"/>
        <c:axId val="-512835856"/>
        <c:axId val="-512844560"/>
      </c:lineChart>
      <c:dateAx>
        <c:axId val="-512835856"/>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2844560"/>
        <c:crosses val="autoZero"/>
        <c:auto val="1"/>
        <c:lblOffset val="100"/>
        <c:baseTimeUnit val="days"/>
      </c:dateAx>
      <c:valAx>
        <c:axId val="-51284456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128358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numRef>
              <c:f>'11. nov '!$A$3:$A$33</c:f>
              <c:numCache>
                <c:formatCode>d\-mmm</c:formatCode>
                <c:ptCount val="31"/>
                <c:pt idx="0">
                  <c:v>45962</c:v>
                </c:pt>
                <c:pt idx="1">
                  <c:v>45963</c:v>
                </c:pt>
                <c:pt idx="2">
                  <c:v>45964</c:v>
                </c:pt>
                <c:pt idx="3">
                  <c:v>45965</c:v>
                </c:pt>
                <c:pt idx="4">
                  <c:v>45966</c:v>
                </c:pt>
                <c:pt idx="5">
                  <c:v>45967</c:v>
                </c:pt>
                <c:pt idx="6">
                  <c:v>45968</c:v>
                </c:pt>
                <c:pt idx="7">
                  <c:v>45969</c:v>
                </c:pt>
                <c:pt idx="8">
                  <c:v>45970</c:v>
                </c:pt>
                <c:pt idx="9">
                  <c:v>45971</c:v>
                </c:pt>
                <c:pt idx="10">
                  <c:v>45972</c:v>
                </c:pt>
                <c:pt idx="11">
                  <c:v>45973</c:v>
                </c:pt>
                <c:pt idx="12">
                  <c:v>45974</c:v>
                </c:pt>
                <c:pt idx="13">
                  <c:v>45975</c:v>
                </c:pt>
                <c:pt idx="14">
                  <c:v>45976</c:v>
                </c:pt>
                <c:pt idx="15">
                  <c:v>45977</c:v>
                </c:pt>
                <c:pt idx="16">
                  <c:v>45978</c:v>
                </c:pt>
                <c:pt idx="17">
                  <c:v>45979</c:v>
                </c:pt>
                <c:pt idx="18">
                  <c:v>45980</c:v>
                </c:pt>
                <c:pt idx="19">
                  <c:v>45981</c:v>
                </c:pt>
                <c:pt idx="20">
                  <c:v>45982</c:v>
                </c:pt>
                <c:pt idx="21">
                  <c:v>45983</c:v>
                </c:pt>
                <c:pt idx="22">
                  <c:v>45984</c:v>
                </c:pt>
                <c:pt idx="23">
                  <c:v>45985</c:v>
                </c:pt>
                <c:pt idx="24">
                  <c:v>45986</c:v>
                </c:pt>
                <c:pt idx="25">
                  <c:v>45987</c:v>
                </c:pt>
                <c:pt idx="26">
                  <c:v>45988</c:v>
                </c:pt>
                <c:pt idx="27">
                  <c:v>45989</c:v>
                </c:pt>
                <c:pt idx="28">
                  <c:v>45990</c:v>
                </c:pt>
                <c:pt idx="29">
                  <c:v>45991</c:v>
                </c:pt>
              </c:numCache>
            </c:numRef>
          </c:cat>
          <c:val>
            <c:numRef>
              <c:f>'11. nov '!$B$3:$B$33</c:f>
              <c:numCache>
                <c:formatCode>General</c:formatCode>
                <c:ptCount val="31"/>
                <c:pt idx="5">
                  <c:v>2.5</c:v>
                </c:pt>
                <c:pt idx="6">
                  <c:v>2.5</c:v>
                </c:pt>
                <c:pt idx="8">
                  <c:v>8.5</c:v>
                </c:pt>
                <c:pt idx="10">
                  <c:v>3</c:v>
                </c:pt>
                <c:pt idx="11">
                  <c:v>2.5</c:v>
                </c:pt>
                <c:pt idx="14">
                  <c:v>0.75</c:v>
                </c:pt>
                <c:pt idx="15">
                  <c:v>3.75</c:v>
                </c:pt>
                <c:pt idx="17">
                  <c:v>4</c:v>
                </c:pt>
                <c:pt idx="18">
                  <c:v>2</c:v>
                </c:pt>
                <c:pt idx="26">
                  <c:v>3</c:v>
                </c:pt>
                <c:pt idx="27">
                  <c:v>5</c:v>
                </c:pt>
                <c:pt idx="28">
                  <c:v>3</c:v>
                </c:pt>
                <c:pt idx="29">
                  <c:v>5.15</c:v>
                </c:pt>
              </c:numCache>
            </c:numRef>
          </c:val>
          <c:smooth val="0"/>
        </c:ser>
        <c:dLbls>
          <c:dLblPos val="ctr"/>
          <c:showLegendKey val="0"/>
          <c:showVal val="1"/>
          <c:showCatName val="0"/>
          <c:showSerName val="0"/>
          <c:showPercent val="0"/>
          <c:showBubbleSize val="0"/>
        </c:dLbls>
        <c:smooth val="0"/>
        <c:axId val="-233282208"/>
        <c:axId val="-233275680"/>
      </c:lineChart>
      <c:dateAx>
        <c:axId val="-233282208"/>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3275680"/>
        <c:crosses val="autoZero"/>
        <c:auto val="1"/>
        <c:lblOffset val="100"/>
        <c:baseTimeUnit val="days"/>
      </c:dateAx>
      <c:valAx>
        <c:axId val="-2332756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3282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numRef>
              <c:f>'12.dec'!$A$3:$A$33</c:f>
              <c:numCache>
                <c:formatCode>d\-mmm</c:formatCode>
                <c:ptCount val="31"/>
                <c:pt idx="0">
                  <c:v>45992</c:v>
                </c:pt>
                <c:pt idx="1">
                  <c:v>45993</c:v>
                </c:pt>
                <c:pt idx="2">
                  <c:v>45994</c:v>
                </c:pt>
                <c:pt idx="3">
                  <c:v>45995</c:v>
                </c:pt>
                <c:pt idx="4">
                  <c:v>45996</c:v>
                </c:pt>
                <c:pt idx="5">
                  <c:v>45997</c:v>
                </c:pt>
                <c:pt idx="6">
                  <c:v>45998</c:v>
                </c:pt>
                <c:pt idx="7">
                  <c:v>45999</c:v>
                </c:pt>
                <c:pt idx="8">
                  <c:v>46000</c:v>
                </c:pt>
                <c:pt idx="9">
                  <c:v>46001</c:v>
                </c:pt>
                <c:pt idx="10">
                  <c:v>46002</c:v>
                </c:pt>
                <c:pt idx="11">
                  <c:v>46003</c:v>
                </c:pt>
                <c:pt idx="12">
                  <c:v>46004</c:v>
                </c:pt>
                <c:pt idx="13">
                  <c:v>46005</c:v>
                </c:pt>
                <c:pt idx="14">
                  <c:v>46006</c:v>
                </c:pt>
                <c:pt idx="15">
                  <c:v>46007</c:v>
                </c:pt>
                <c:pt idx="16">
                  <c:v>46008</c:v>
                </c:pt>
                <c:pt idx="17">
                  <c:v>46009</c:v>
                </c:pt>
                <c:pt idx="18">
                  <c:v>46010</c:v>
                </c:pt>
                <c:pt idx="19">
                  <c:v>46011</c:v>
                </c:pt>
                <c:pt idx="20">
                  <c:v>46012</c:v>
                </c:pt>
                <c:pt idx="21">
                  <c:v>46013</c:v>
                </c:pt>
                <c:pt idx="22">
                  <c:v>46014</c:v>
                </c:pt>
                <c:pt idx="23">
                  <c:v>46015</c:v>
                </c:pt>
                <c:pt idx="24">
                  <c:v>46016</c:v>
                </c:pt>
                <c:pt idx="25">
                  <c:v>46017</c:v>
                </c:pt>
                <c:pt idx="26">
                  <c:v>46018</c:v>
                </c:pt>
                <c:pt idx="27">
                  <c:v>46019</c:v>
                </c:pt>
                <c:pt idx="28">
                  <c:v>46020</c:v>
                </c:pt>
                <c:pt idx="29">
                  <c:v>46021</c:v>
                </c:pt>
                <c:pt idx="30">
                  <c:v>46022</c:v>
                </c:pt>
              </c:numCache>
            </c:numRef>
          </c:cat>
          <c:val>
            <c:numRef>
              <c:f>'12.dec'!$B$3:$B$33</c:f>
              <c:numCache>
                <c:formatCode>General</c:formatCode>
                <c:ptCount val="31"/>
                <c:pt idx="0">
                  <c:v>4</c:v>
                </c:pt>
                <c:pt idx="1">
                  <c:v>5</c:v>
                </c:pt>
                <c:pt idx="2">
                  <c:v>3.25</c:v>
                </c:pt>
                <c:pt idx="3">
                  <c:v>3</c:v>
                </c:pt>
                <c:pt idx="5">
                  <c:v>0.5</c:v>
                </c:pt>
                <c:pt idx="6">
                  <c:v>1</c:v>
                </c:pt>
                <c:pt idx="8">
                  <c:v>4.5</c:v>
                </c:pt>
                <c:pt idx="9">
                  <c:v>2</c:v>
                </c:pt>
                <c:pt idx="10">
                  <c:v>3</c:v>
                </c:pt>
                <c:pt idx="11">
                  <c:v>3.25</c:v>
                </c:pt>
                <c:pt idx="14">
                  <c:v>4</c:v>
                </c:pt>
                <c:pt idx="21">
                  <c:v>2</c:v>
                </c:pt>
                <c:pt idx="22">
                  <c:v>4.25</c:v>
                </c:pt>
                <c:pt idx="23">
                  <c:v>3.25</c:v>
                </c:pt>
                <c:pt idx="24">
                  <c:v>4.25</c:v>
                </c:pt>
                <c:pt idx="25">
                  <c:v>0.75</c:v>
                </c:pt>
                <c:pt idx="26">
                  <c:v>5.5</c:v>
                </c:pt>
                <c:pt idx="27">
                  <c:v>4</c:v>
                </c:pt>
                <c:pt idx="28">
                  <c:v>6</c:v>
                </c:pt>
                <c:pt idx="29">
                  <c:v>5.5</c:v>
                </c:pt>
                <c:pt idx="30">
                  <c:v>3</c:v>
                </c:pt>
              </c:numCache>
            </c:numRef>
          </c:val>
          <c:smooth val="0"/>
        </c:ser>
        <c:dLbls>
          <c:dLblPos val="ctr"/>
          <c:showLegendKey val="0"/>
          <c:showVal val="1"/>
          <c:showCatName val="0"/>
          <c:showSerName val="0"/>
          <c:showPercent val="0"/>
          <c:showBubbleSize val="0"/>
        </c:dLbls>
        <c:smooth val="0"/>
        <c:axId val="-233281664"/>
        <c:axId val="-233277312"/>
      </c:lineChart>
      <c:dateAx>
        <c:axId val="-233281664"/>
        <c:scaling>
          <c:orientation val="minMax"/>
        </c:scaling>
        <c:delete val="0"/>
        <c:axPos val="b"/>
        <c:numFmt formatCode="d\-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3277312"/>
        <c:crosses val="autoZero"/>
        <c:auto val="1"/>
        <c:lblOffset val="100"/>
        <c:baseTimeUnit val="days"/>
      </c:dateAx>
      <c:valAx>
        <c:axId val="-2332773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3281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257175</xdr:colOff>
      <xdr:row>34</xdr:row>
      <xdr:rowOff>80962</xdr:rowOff>
    </xdr:from>
    <xdr:to>
      <xdr:col>21</xdr:col>
      <xdr:colOff>104775</xdr:colOff>
      <xdr:row>50</xdr:row>
      <xdr:rowOff>71437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514349</xdr:colOff>
      <xdr:row>32</xdr:row>
      <xdr:rowOff>157162</xdr:rowOff>
    </xdr:from>
    <xdr:to>
      <xdr:col>14</xdr:col>
      <xdr:colOff>114299</xdr:colOff>
      <xdr:row>47</xdr:row>
      <xdr:rowOff>4762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14</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14</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14</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11</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13</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409574</xdr:colOff>
      <xdr:row>34</xdr:row>
      <xdr:rowOff>23812</xdr:rowOff>
    </xdr:from>
    <xdr:to>
      <xdr:col>13</xdr:col>
      <xdr:colOff>9524</xdr:colOff>
      <xdr:row>48</xdr:row>
      <xdr:rowOff>100012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3" name="Table3" displayName="Table3" ref="M3:M22" totalsRowShown="0" headerRowDxfId="91" dataDxfId="90" tableBorderDxfId="89">
  <autoFilter ref="M3:M22"/>
  <tableColumns count="1">
    <tableColumn id="1" name="Total wastage" dataDxfId="88"/>
  </tableColumns>
  <tableStyleInfo name="TableStyleMedium28" showFirstColumn="0" showLastColumn="0" showRowStripes="1" showColumnStripes="0"/>
</table>
</file>

<file path=xl/tables/table2.xml><?xml version="1.0" encoding="utf-8"?>
<table xmlns="http://schemas.openxmlformats.org/spreadsheetml/2006/main" id="1" name="Table32" displayName="Table32" ref="M3:N23" totalsRowShown="0" headerRowDxfId="84" dataDxfId="83" tableBorderDxfId="82">
  <autoFilter ref="M3:N23"/>
  <tableColumns count="2">
    <tableColumn id="1" name="Total wastage" dataDxfId="81"/>
    <tableColumn id="2" name="hours" dataDxfId="80" dataCellStyle="Accent4"/>
  </tableColumns>
  <tableStyleInfo name="TableStyleMedium26" showFirstColumn="0" showLastColumn="0" showRowStripes="1" showColumnStripes="0"/>
</table>
</file>

<file path=xl/tables/table3.xml><?xml version="1.0" encoding="utf-8"?>
<table xmlns="http://schemas.openxmlformats.org/spreadsheetml/2006/main" id="2" name="Table323" displayName="Table323" ref="M3:N23" totalsRowShown="0" headerRowDxfId="76" dataDxfId="75" tableBorderDxfId="74">
  <autoFilter ref="M3:N23"/>
  <tableColumns count="2">
    <tableColumn id="1" name="Column1" dataDxfId="73"/>
    <tableColumn id="2" name="Column2" dataDxfId="72" dataCellStyle="60% - Accent2"/>
  </tableColumns>
  <tableStyleInfo name="TableStyleMedium3" showFirstColumn="0" showLastColumn="0" showRowStripes="1" showColumnStripes="0"/>
</table>
</file>

<file path=xl/tables/table4.xml><?xml version="1.0" encoding="utf-8"?>
<table xmlns="http://schemas.openxmlformats.org/spreadsheetml/2006/main" id="4" name="Table3235" displayName="Table3235" ref="M3:N24" totalsRowShown="0" headerRowDxfId="67" dataDxfId="66" tableBorderDxfId="65">
  <autoFilter ref="M3:N24"/>
  <tableColumns count="2">
    <tableColumn id="1" name="Column1" dataDxfId="64"/>
    <tableColumn id="2" name="Column2" dataDxfId="63" dataCellStyle="40% - Accent1"/>
  </tableColumns>
  <tableStyleInfo name="TableStyleMedium27" showFirstColumn="0" showLastColumn="0" showRowStripes="1" showColumnStripes="0"/>
</table>
</file>

<file path=xl/tables/table5.xml><?xml version="1.0" encoding="utf-8"?>
<table xmlns="http://schemas.openxmlformats.org/spreadsheetml/2006/main" id="6" name="Table323567" displayName="Table323567" ref="J3:K25" totalsRowShown="0" headerRowDxfId="58" dataDxfId="57" tableBorderDxfId="56" dataCellStyle="40% - Accent4">
  <autoFilter ref="J3:K25"/>
  <tableColumns count="2">
    <tableColumn id="1" name="Column1" dataDxfId="55" dataCellStyle="40% - Accent4"/>
    <tableColumn id="2" name="Column2" dataDxfId="54" dataCellStyle="40% - Accent4"/>
  </tableColumns>
  <tableStyleInfo name="TableStyleMedium2" showFirstColumn="0" showLastColumn="0" showRowStripes="1" showColumnStripes="0"/>
</table>
</file>

<file path=xl/tables/table6.xml><?xml version="1.0" encoding="utf-8"?>
<table xmlns="http://schemas.openxmlformats.org/spreadsheetml/2006/main" id="7" name="Table323568" displayName="Table323568" ref="J3:K25" totalsRowShown="0" headerRowDxfId="49" dataDxfId="48" tableBorderDxfId="47" dataCellStyle="40% - Accent4">
  <autoFilter ref="J3:K25"/>
  <tableColumns count="2">
    <tableColumn id="1" name="Column1" dataDxfId="46" dataCellStyle="40% - Accent4"/>
    <tableColumn id="2" name="Column2" dataDxfId="45" dataCellStyle="40% - Accent4"/>
  </tableColumns>
  <tableStyleInfo name="TableStyleMedium2" showFirstColumn="0" showLastColumn="0" showRowStripes="1" showColumnStripes="0"/>
</table>
</file>

<file path=xl/tables/table7.xml><?xml version="1.0" encoding="utf-8"?>
<table xmlns="http://schemas.openxmlformats.org/spreadsheetml/2006/main" id="8" name="Table323569" displayName="Table323569" ref="J3:K25" totalsRowShown="0" headerRowDxfId="40" dataDxfId="39" tableBorderDxfId="38" dataCellStyle="40% - Accent4">
  <autoFilter ref="J3:K25"/>
  <tableColumns count="2">
    <tableColumn id="1" name="Column1" dataDxfId="37" dataCellStyle="40% - Accent4"/>
    <tableColumn id="2" name="Column2" dataDxfId="36" dataCellStyle="40% - Accent4"/>
  </tableColumns>
  <tableStyleInfo name="TableStyleMedium2" showFirstColumn="0" showLastColumn="0" showRowStripes="1" showColumnStripes="0"/>
</table>
</file>

<file path=xl/tables/table8.xml><?xml version="1.0" encoding="utf-8"?>
<table xmlns="http://schemas.openxmlformats.org/spreadsheetml/2006/main" id="9" name="Table3235610" displayName="Table3235610" ref="J3:K25" totalsRowShown="0" headerRowDxfId="31" dataDxfId="30" tableBorderDxfId="29" dataCellStyle="40% - Accent4">
  <autoFilter ref="J3:K25"/>
  <tableColumns count="2">
    <tableColumn id="1" name="Column1" dataDxfId="28" dataCellStyle="40% - Accent4"/>
    <tableColumn id="2" name="Column2" dataDxfId="27" dataCellStyle="40% - Accent4"/>
  </tableColumns>
  <tableStyleInfo name="TableStyleMedium2" showFirstColumn="0" showLastColumn="0" showRowStripes="1" showColumnStripes="0"/>
</table>
</file>

<file path=xl/tables/table9.xml><?xml version="1.0" encoding="utf-8"?>
<table xmlns="http://schemas.openxmlformats.org/spreadsheetml/2006/main" id="10" name="Table3235611" displayName="Table3235611" ref="J3:K25" totalsRowShown="0" headerRowDxfId="22" dataDxfId="21" tableBorderDxfId="20" dataCellStyle="40% - Accent4">
  <autoFilter ref="J3:K25"/>
  <tableColumns count="2">
    <tableColumn id="1" name="Column1" dataDxfId="19" dataCellStyle="40% - Accent4"/>
    <tableColumn id="2" name="Column2" dataDxfId="18" dataCellStyle="40% - Accent4"/>
  </tableColumns>
  <tableStyleInfo name="TableStyleMedium2" showFirstColumn="0" showLastColumn="0" showRowStripes="1" showColumnStripes="0"/>
</table>
</file>

<file path=xl/tables/table10.xml><?xml version="1.0" encoding="utf-8"?>
<table xmlns="http://schemas.openxmlformats.org/spreadsheetml/2006/main" id="11" name="Table3235612" displayName="Table3235612" ref="L3:M25" totalsRowShown="0" headerRowDxfId="13" dataDxfId="12" tableBorderDxfId="11" dataCellStyle="40% - Accent4">
  <autoFilter ref="L3:M25"/>
  <tableColumns count="2">
    <tableColumn id="1" name="Column1" dataDxfId="10" dataCellStyle="40% - Accent4"/>
    <tableColumn id="2" name="Column2" dataDxfId="9" dataCellStyle="40% - Accent4"/>
  </tableColumns>
  <tableStyleInfo name="TableStyleMedium2" showFirstColumn="0" showLastColumn="0" showRowStripes="1" showColumnStripes="0"/>
</table>
</file>

<file path=xl/tables/table11.xml><?xml version="1.0" encoding="utf-8"?>
<table xmlns="http://schemas.openxmlformats.org/spreadsheetml/2006/main" id="5" name="Table32356" displayName="Table32356" ref="L3:M25" totalsRowShown="0" headerRowDxfId="4" dataDxfId="3" tableBorderDxfId="2" dataCellStyle="40% - Accent4">
  <autoFilter ref="L3:M25"/>
  <tableColumns count="2">
    <tableColumn id="1" name="Column1" dataDxfId="1" dataCellStyle="40% - Accent4"/>
    <tableColumn id="2" name="Column2" dataDxfId="0" dataCellStyle="40% - Accent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watch?v=KSLeXFe28LE"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workbookViewId="0">
      <pane ySplit="1" topLeftCell="A2" activePane="bottomLeft" state="frozen"/>
      <selection pane="bottomLeft" activeCell="J3" sqref="J3"/>
    </sheetView>
  </sheetViews>
  <sheetFormatPr defaultRowHeight="15"/>
  <cols>
    <col min="1" max="1" width="9.42578125" customWidth="1"/>
    <col min="2" max="2" width="9" customWidth="1"/>
    <col min="3" max="3" width="11.5703125" customWidth="1"/>
    <col min="4" max="4" width="8" customWidth="1"/>
    <col min="5" max="5" width="8.5703125" customWidth="1"/>
    <col min="6" max="9" width="8.42578125" customWidth="1"/>
    <col min="10" max="10" width="70" customWidth="1"/>
    <col min="13" max="13" width="11.85546875" customWidth="1"/>
    <col min="19" max="19" width="15" customWidth="1"/>
  </cols>
  <sheetData>
    <row r="1" spans="1:22" ht="90.75" customHeight="1">
      <c r="A1" s="1" t="s">
        <v>0</v>
      </c>
      <c r="B1" s="11" t="s">
        <v>1</v>
      </c>
      <c r="C1" s="12" t="s">
        <v>5</v>
      </c>
      <c r="D1" s="12" t="s">
        <v>8</v>
      </c>
      <c r="E1" s="16" t="s">
        <v>93</v>
      </c>
      <c r="F1" s="17" t="s">
        <v>4</v>
      </c>
      <c r="G1" s="17" t="s">
        <v>7</v>
      </c>
      <c r="H1" s="13" t="s">
        <v>22</v>
      </c>
      <c r="I1" s="13" t="s">
        <v>21</v>
      </c>
      <c r="J1" s="24" t="s">
        <v>38</v>
      </c>
      <c r="K1" s="10"/>
      <c r="L1" s="345" t="s">
        <v>6</v>
      </c>
      <c r="M1" s="345"/>
      <c r="N1" s="345"/>
      <c r="O1" s="345"/>
      <c r="P1" s="345"/>
      <c r="Q1" s="345"/>
      <c r="R1" s="345"/>
      <c r="S1" s="7" t="s">
        <v>3</v>
      </c>
      <c r="T1" s="8">
        <f>SUM(B3:B33)</f>
        <v>82.5</v>
      </c>
    </row>
    <row r="2" spans="1:22" ht="76.5" customHeight="1">
      <c r="A2" s="1"/>
      <c r="B2" s="1"/>
      <c r="C2" s="14"/>
      <c r="D2" s="14"/>
      <c r="E2" s="18"/>
      <c r="F2" s="18"/>
      <c r="G2" s="18"/>
      <c r="H2" s="1">
        <f>SUM(H3:H33)/60</f>
        <v>10.666666666666666</v>
      </c>
      <c r="I2" s="1"/>
      <c r="J2" s="25" t="s">
        <v>95</v>
      </c>
      <c r="L2" s="345"/>
      <c r="M2" s="345"/>
      <c r="N2" s="345"/>
      <c r="O2" s="345"/>
      <c r="P2" s="345"/>
      <c r="Q2" s="345"/>
      <c r="R2" s="345"/>
      <c r="S2" s="5" t="s">
        <v>9</v>
      </c>
      <c r="T2">
        <f>SUM(E3:G32)</f>
        <v>80.25</v>
      </c>
    </row>
    <row r="3" spans="1:22" ht="50.25" customHeight="1" thickBot="1">
      <c r="A3" s="2">
        <v>45658</v>
      </c>
      <c r="B3" s="1">
        <v>4.5</v>
      </c>
      <c r="C3" s="15">
        <v>1</v>
      </c>
      <c r="D3" s="15">
        <v>2.5</v>
      </c>
      <c r="E3" s="19">
        <v>1</v>
      </c>
      <c r="F3" s="19">
        <v>0.5</v>
      </c>
      <c r="G3" s="19">
        <v>1.5</v>
      </c>
      <c r="H3" s="19">
        <v>50</v>
      </c>
      <c r="I3" s="19" t="s">
        <v>31</v>
      </c>
      <c r="J3" s="9" t="s">
        <v>24</v>
      </c>
      <c r="L3" s="346"/>
      <c r="M3" s="346"/>
      <c r="N3" s="346"/>
      <c r="O3" s="346"/>
      <c r="P3" s="346"/>
      <c r="Q3" s="346"/>
      <c r="R3" s="346"/>
      <c r="S3" s="5" t="s">
        <v>10</v>
      </c>
      <c r="T3" s="6">
        <f>SUM(C3:D33)</f>
        <v>64.5</v>
      </c>
    </row>
    <row r="4" spans="1:22" ht="15.75" thickTop="1">
      <c r="A4" s="2">
        <v>45659</v>
      </c>
      <c r="B4">
        <v>2</v>
      </c>
      <c r="C4" s="15"/>
      <c r="D4" s="15">
        <v>0.5</v>
      </c>
      <c r="E4" s="19">
        <v>1.5</v>
      </c>
      <c r="F4" s="19">
        <v>2.5</v>
      </c>
      <c r="G4" s="19"/>
      <c r="H4" s="19">
        <v>30</v>
      </c>
      <c r="I4" s="19" t="s">
        <v>32</v>
      </c>
      <c r="J4" s="1" t="s">
        <v>29</v>
      </c>
    </row>
    <row r="5" spans="1:22">
      <c r="A5" s="2">
        <v>45660</v>
      </c>
      <c r="B5">
        <v>2</v>
      </c>
      <c r="C5" s="15"/>
      <c r="D5" s="15"/>
      <c r="E5" s="19">
        <v>1</v>
      </c>
      <c r="F5" s="19">
        <v>1.5</v>
      </c>
      <c r="G5" s="19">
        <v>2</v>
      </c>
      <c r="H5" s="19">
        <v>50</v>
      </c>
      <c r="I5" t="s">
        <v>36</v>
      </c>
      <c r="J5" s="1" t="s">
        <v>33</v>
      </c>
      <c r="Q5" t="s">
        <v>53</v>
      </c>
    </row>
    <row r="6" spans="1:22" ht="21.75" customHeight="1">
      <c r="A6" s="2">
        <v>45661</v>
      </c>
      <c r="B6">
        <v>4</v>
      </c>
      <c r="C6" s="14">
        <v>4</v>
      </c>
      <c r="D6" s="14">
        <v>1</v>
      </c>
      <c r="E6" s="18">
        <v>1.5</v>
      </c>
      <c r="F6" s="18">
        <v>1</v>
      </c>
      <c r="G6" s="18"/>
      <c r="H6" s="1">
        <v>60</v>
      </c>
      <c r="I6" s="1" t="s">
        <v>37</v>
      </c>
      <c r="J6" s="1" t="s">
        <v>35</v>
      </c>
      <c r="K6" s="344" t="s">
        <v>39</v>
      </c>
      <c r="L6" s="344"/>
      <c r="M6" s="344"/>
      <c r="N6" s="344"/>
      <c r="O6" s="344"/>
      <c r="Q6" s="341" t="s">
        <v>54</v>
      </c>
      <c r="R6" s="341"/>
      <c r="S6" s="341"/>
      <c r="T6" t="s">
        <v>55</v>
      </c>
    </row>
    <row r="7" spans="1:22">
      <c r="A7" s="2">
        <v>45662</v>
      </c>
      <c r="B7">
        <v>2.5</v>
      </c>
      <c r="C7" s="15">
        <v>1.5</v>
      </c>
      <c r="D7" s="15">
        <v>2.5</v>
      </c>
      <c r="E7" s="19"/>
      <c r="F7" s="19">
        <v>2</v>
      </c>
      <c r="G7" s="19">
        <v>1</v>
      </c>
      <c r="H7" s="19">
        <v>40</v>
      </c>
      <c r="I7" t="s">
        <v>45</v>
      </c>
      <c r="J7" s="1" t="s">
        <v>42</v>
      </c>
      <c r="K7" s="350" t="s">
        <v>18</v>
      </c>
      <c r="L7" s="351"/>
      <c r="M7" s="351"/>
      <c r="N7" s="351"/>
      <c r="O7" s="352"/>
      <c r="Q7" s="343" t="s">
        <v>59</v>
      </c>
      <c r="R7" s="343"/>
      <c r="S7" s="343"/>
      <c r="T7" s="343"/>
      <c r="U7" s="343"/>
      <c r="V7" s="343"/>
    </row>
    <row r="8" spans="1:22">
      <c r="A8" s="2">
        <v>45663</v>
      </c>
      <c r="B8">
        <v>2.5</v>
      </c>
      <c r="C8" s="15">
        <v>4.5</v>
      </c>
      <c r="D8" s="15">
        <v>1.5</v>
      </c>
      <c r="E8" s="19"/>
      <c r="F8" s="19"/>
      <c r="G8" s="19"/>
      <c r="H8" s="19">
        <v>0</v>
      </c>
      <c r="J8" s="1" t="s">
        <v>41</v>
      </c>
      <c r="K8" s="344"/>
      <c r="L8" s="344"/>
      <c r="M8" s="344"/>
      <c r="N8" s="344"/>
      <c r="O8" s="344"/>
      <c r="P8" s="23"/>
      <c r="Q8" s="343" t="s">
        <v>83</v>
      </c>
      <c r="R8" s="343"/>
      <c r="S8" s="343"/>
      <c r="T8" s="343"/>
      <c r="U8" s="343"/>
      <c r="V8" s="343"/>
    </row>
    <row r="9" spans="1:22">
      <c r="A9" s="2">
        <v>45664</v>
      </c>
      <c r="B9">
        <v>3</v>
      </c>
      <c r="C9" s="15">
        <v>5</v>
      </c>
      <c r="D9" s="15">
        <v>1</v>
      </c>
      <c r="E9" s="19"/>
      <c r="F9" s="19"/>
      <c r="G9" s="19"/>
      <c r="H9" s="19">
        <v>0</v>
      </c>
      <c r="J9" s="30" t="s">
        <v>40</v>
      </c>
      <c r="K9" s="344"/>
      <c r="L9" s="344"/>
      <c r="M9" s="344"/>
      <c r="N9" s="344"/>
      <c r="O9" s="344"/>
      <c r="P9" s="23"/>
      <c r="Q9" s="343" t="s">
        <v>84</v>
      </c>
      <c r="R9" s="343"/>
      <c r="S9" s="343"/>
      <c r="T9" s="343"/>
      <c r="U9" s="343"/>
      <c r="V9" s="343"/>
    </row>
    <row r="10" spans="1:22">
      <c r="A10" s="2">
        <v>45665</v>
      </c>
      <c r="B10">
        <v>2</v>
      </c>
      <c r="C10" s="15"/>
      <c r="D10" s="15"/>
      <c r="E10" s="19">
        <v>1</v>
      </c>
      <c r="F10" s="19">
        <v>1</v>
      </c>
      <c r="G10" s="19">
        <v>1.5</v>
      </c>
      <c r="H10" s="19">
        <v>10</v>
      </c>
      <c r="I10" s="19">
        <v>14</v>
      </c>
      <c r="J10" s="1" t="s">
        <v>43</v>
      </c>
      <c r="K10" s="344"/>
      <c r="L10" s="344"/>
      <c r="M10" s="344"/>
      <c r="N10" s="344"/>
      <c r="O10" s="344"/>
      <c r="P10" s="23"/>
      <c r="Q10" s="343"/>
      <c r="R10" s="343"/>
      <c r="S10" s="343"/>
      <c r="T10" s="343"/>
      <c r="U10" s="343"/>
      <c r="V10" s="343"/>
    </row>
    <row r="11" spans="1:22">
      <c r="A11" s="2">
        <v>45666</v>
      </c>
      <c r="B11">
        <v>2</v>
      </c>
      <c r="C11" s="15">
        <v>1</v>
      </c>
      <c r="D11" s="15"/>
      <c r="E11" s="19"/>
      <c r="F11" s="19"/>
      <c r="G11" s="19">
        <v>4</v>
      </c>
      <c r="H11" s="4"/>
      <c r="I11" s="4"/>
      <c r="J11" s="3" t="s">
        <v>46</v>
      </c>
      <c r="K11" s="23"/>
      <c r="L11" s="23"/>
      <c r="M11" s="23"/>
      <c r="N11" s="23"/>
      <c r="O11" s="23" t="s">
        <v>47</v>
      </c>
      <c r="P11" s="23">
        <f>SUM(P13:P43)</f>
        <v>128.25</v>
      </c>
      <c r="Q11" s="23"/>
      <c r="R11" s="23"/>
      <c r="S11" s="23"/>
      <c r="T11" s="23"/>
      <c r="U11" s="23"/>
      <c r="V11" s="23"/>
    </row>
    <row r="12" spans="1:22" ht="15" customHeight="1">
      <c r="A12" s="2">
        <v>45667</v>
      </c>
      <c r="B12">
        <v>0</v>
      </c>
      <c r="C12" s="15">
        <v>3.5</v>
      </c>
      <c r="D12" s="15"/>
      <c r="E12" s="19"/>
      <c r="F12" s="19">
        <v>0.5</v>
      </c>
      <c r="G12" s="19"/>
      <c r="H12" s="19">
        <v>60</v>
      </c>
      <c r="I12" t="s">
        <v>70</v>
      </c>
      <c r="J12" s="4" t="s">
        <v>48</v>
      </c>
      <c r="K12" s="360" t="s">
        <v>11</v>
      </c>
      <c r="L12" s="361"/>
      <c r="M12" s="361"/>
      <c r="N12" s="361"/>
      <c r="O12" s="362"/>
      <c r="P12" s="26" t="s">
        <v>26</v>
      </c>
      <c r="Q12" s="23"/>
      <c r="R12" s="353" t="s">
        <v>30</v>
      </c>
      <c r="S12" s="353"/>
      <c r="T12" s="353"/>
      <c r="U12" s="353"/>
      <c r="V12" s="353"/>
    </row>
    <row r="13" spans="1:22" ht="36" customHeight="1">
      <c r="A13" s="2">
        <v>45668</v>
      </c>
      <c r="B13">
        <v>3</v>
      </c>
      <c r="C13" s="15">
        <v>5.5</v>
      </c>
      <c r="D13" s="14">
        <v>1.5</v>
      </c>
      <c r="E13" s="18"/>
      <c r="F13" s="19">
        <v>1</v>
      </c>
      <c r="G13" s="19"/>
      <c r="J13" s="3" t="s">
        <v>50</v>
      </c>
      <c r="K13" s="354" t="s">
        <v>27</v>
      </c>
      <c r="L13" s="354"/>
      <c r="M13" s="354"/>
      <c r="N13" s="354"/>
      <c r="O13" s="355"/>
      <c r="P13" s="23">
        <v>15.5</v>
      </c>
      <c r="Q13" s="23"/>
      <c r="R13" s="351" t="s">
        <v>12</v>
      </c>
      <c r="S13" s="351"/>
      <c r="T13" s="351"/>
      <c r="U13" s="351"/>
      <c r="V13" s="352"/>
    </row>
    <row r="14" spans="1:22">
      <c r="A14" s="2">
        <v>45669</v>
      </c>
      <c r="B14">
        <v>2.5</v>
      </c>
      <c r="C14" s="15">
        <v>2</v>
      </c>
      <c r="D14" s="14">
        <v>1</v>
      </c>
      <c r="E14" s="18">
        <v>1</v>
      </c>
      <c r="F14" s="19">
        <v>3</v>
      </c>
      <c r="G14" s="19">
        <v>2</v>
      </c>
      <c r="J14" s="4" t="s">
        <v>52</v>
      </c>
      <c r="K14" s="356" t="s">
        <v>2</v>
      </c>
      <c r="L14" s="357"/>
      <c r="M14" s="357"/>
      <c r="N14" s="357"/>
      <c r="O14" s="358"/>
      <c r="P14" s="23">
        <v>26.5</v>
      </c>
      <c r="Q14" s="23"/>
      <c r="R14" s="350" t="s">
        <v>16</v>
      </c>
      <c r="S14" s="351"/>
      <c r="T14" s="351"/>
      <c r="U14" s="351"/>
      <c r="V14" s="352"/>
    </row>
    <row r="15" spans="1:22">
      <c r="A15" s="2">
        <v>45670</v>
      </c>
      <c r="B15">
        <v>5</v>
      </c>
      <c r="C15" s="15">
        <v>1</v>
      </c>
      <c r="D15" s="14">
        <v>0.5</v>
      </c>
      <c r="E15" s="18">
        <v>1</v>
      </c>
      <c r="F15" s="19">
        <v>1</v>
      </c>
      <c r="G15" s="19">
        <v>2.5</v>
      </c>
      <c r="J15" s="3" t="s">
        <v>58</v>
      </c>
      <c r="K15" s="356" t="s">
        <v>23</v>
      </c>
      <c r="L15" s="357"/>
      <c r="M15" s="357"/>
      <c r="N15" s="357"/>
      <c r="O15" s="358"/>
      <c r="P15" s="23">
        <v>1</v>
      </c>
      <c r="Q15" s="23"/>
      <c r="R15" s="350" t="s">
        <v>19</v>
      </c>
      <c r="S15" s="351"/>
      <c r="T15" s="351"/>
      <c r="U15" s="351"/>
      <c r="V15" s="352"/>
    </row>
    <row r="16" spans="1:22">
      <c r="A16" s="2">
        <v>45671</v>
      </c>
      <c r="B16">
        <v>0</v>
      </c>
      <c r="C16" s="15"/>
      <c r="D16" s="14"/>
      <c r="E16" s="18"/>
      <c r="F16" s="19"/>
      <c r="G16" s="19"/>
      <c r="J16" s="31" t="s">
        <v>60</v>
      </c>
      <c r="K16" s="356" t="s">
        <v>25</v>
      </c>
      <c r="L16" s="357"/>
      <c r="M16" s="357"/>
      <c r="N16" s="357"/>
      <c r="O16" s="358"/>
      <c r="P16" s="23">
        <v>5</v>
      </c>
      <c r="Q16" s="23"/>
      <c r="R16" s="350" t="s">
        <v>13</v>
      </c>
      <c r="S16" s="351"/>
      <c r="T16" s="351"/>
      <c r="U16" s="351"/>
      <c r="V16" s="352"/>
    </row>
    <row r="17" spans="1:22">
      <c r="A17" s="2">
        <v>45672</v>
      </c>
      <c r="C17" s="15"/>
      <c r="D17" s="14"/>
      <c r="E17" s="18">
        <v>1</v>
      </c>
      <c r="F17" s="19">
        <v>0.5</v>
      </c>
      <c r="G17" s="19"/>
      <c r="J17" s="4" t="s">
        <v>61</v>
      </c>
      <c r="K17" s="356" t="s">
        <v>90</v>
      </c>
      <c r="L17" s="357"/>
      <c r="M17" s="357"/>
      <c r="N17" s="357"/>
      <c r="O17" s="358"/>
      <c r="P17" s="23">
        <v>14</v>
      </c>
      <c r="Q17" s="23"/>
      <c r="R17" s="350" t="s">
        <v>18</v>
      </c>
      <c r="S17" s="351"/>
      <c r="T17" s="351"/>
      <c r="U17" s="351"/>
      <c r="V17" s="352"/>
    </row>
    <row r="18" spans="1:22">
      <c r="A18" s="2">
        <v>45673</v>
      </c>
      <c r="B18">
        <v>5.5</v>
      </c>
      <c r="C18" s="15"/>
      <c r="D18" s="14">
        <v>1.5</v>
      </c>
      <c r="E18" s="18"/>
      <c r="F18" s="19">
        <v>2.5</v>
      </c>
      <c r="G18" s="19"/>
      <c r="J18" s="3" t="s">
        <v>63</v>
      </c>
      <c r="K18" s="347" t="s">
        <v>28</v>
      </c>
      <c r="L18" s="348"/>
      <c r="M18" s="348"/>
      <c r="N18" s="348"/>
      <c r="O18" s="349"/>
      <c r="P18">
        <v>4</v>
      </c>
      <c r="R18" s="350" t="s">
        <v>15</v>
      </c>
      <c r="S18" s="351"/>
      <c r="T18" s="351"/>
      <c r="U18" s="351"/>
      <c r="V18" s="352"/>
    </row>
    <row r="19" spans="1:22">
      <c r="A19" s="2">
        <v>45674</v>
      </c>
      <c r="B19">
        <v>5.5</v>
      </c>
      <c r="C19" s="15">
        <v>1</v>
      </c>
      <c r="D19" s="14">
        <v>0.5</v>
      </c>
      <c r="E19" s="18">
        <v>0.5</v>
      </c>
      <c r="F19" s="19">
        <v>0.5</v>
      </c>
      <c r="G19" s="19"/>
      <c r="H19">
        <v>0</v>
      </c>
      <c r="I19" t="s">
        <v>66</v>
      </c>
      <c r="J19" s="4" t="s">
        <v>65</v>
      </c>
      <c r="K19" s="347" t="s">
        <v>71</v>
      </c>
      <c r="L19" s="348"/>
      <c r="M19" s="348"/>
      <c r="N19" s="348"/>
      <c r="O19" s="349"/>
      <c r="P19">
        <v>20.75</v>
      </c>
      <c r="R19" s="350" t="s">
        <v>20</v>
      </c>
      <c r="S19" s="351"/>
      <c r="T19" s="351"/>
      <c r="U19" s="351"/>
      <c r="V19" s="352"/>
    </row>
    <row r="20" spans="1:22" ht="30">
      <c r="A20" s="2">
        <v>45675</v>
      </c>
      <c r="B20">
        <v>1</v>
      </c>
      <c r="C20" s="15">
        <v>4.25</v>
      </c>
      <c r="D20" s="15">
        <v>2.5</v>
      </c>
      <c r="E20" s="19">
        <v>1.5</v>
      </c>
      <c r="F20" s="19">
        <v>2.75</v>
      </c>
      <c r="G20" s="19">
        <v>0.5</v>
      </c>
      <c r="H20">
        <v>30</v>
      </c>
      <c r="I20">
        <v>18</v>
      </c>
      <c r="J20" s="3" t="s">
        <v>68</v>
      </c>
      <c r="K20" s="27"/>
      <c r="L20" s="28"/>
      <c r="M20" s="28" t="s">
        <v>34</v>
      </c>
      <c r="N20" s="28"/>
      <c r="O20" s="29"/>
      <c r="P20">
        <v>2</v>
      </c>
      <c r="Q20" s="23"/>
      <c r="R20" s="350" t="s">
        <v>14</v>
      </c>
      <c r="S20" s="351"/>
      <c r="T20" s="351"/>
      <c r="U20" s="351"/>
      <c r="V20" s="352"/>
    </row>
    <row r="21" spans="1:22" ht="15" customHeight="1">
      <c r="A21" s="2">
        <v>45676</v>
      </c>
      <c r="B21">
        <v>4</v>
      </c>
      <c r="C21" s="15">
        <v>1</v>
      </c>
      <c r="D21" s="14"/>
      <c r="E21" s="18">
        <v>0.5</v>
      </c>
      <c r="F21" s="19">
        <v>4</v>
      </c>
      <c r="G21" s="19">
        <v>2</v>
      </c>
      <c r="H21">
        <v>45</v>
      </c>
      <c r="I21" t="s">
        <v>73</v>
      </c>
      <c r="J21" s="4" t="s">
        <v>72</v>
      </c>
      <c r="K21" s="359" t="s">
        <v>89</v>
      </c>
      <c r="L21" s="359"/>
      <c r="M21" s="359"/>
      <c r="N21" s="359"/>
      <c r="O21" s="359"/>
      <c r="P21">
        <v>7</v>
      </c>
      <c r="Q21" s="23"/>
      <c r="R21" s="347" t="s">
        <v>17</v>
      </c>
      <c r="S21" s="348"/>
      <c r="T21" s="348"/>
      <c r="U21" s="348"/>
      <c r="V21" s="349"/>
    </row>
    <row r="22" spans="1:22" ht="30">
      <c r="A22" s="2">
        <v>45677</v>
      </c>
      <c r="B22">
        <v>6.5</v>
      </c>
      <c r="C22" s="15">
        <v>0.25</v>
      </c>
      <c r="D22" s="15"/>
      <c r="E22" s="19">
        <v>1</v>
      </c>
      <c r="F22" s="19">
        <v>2.5</v>
      </c>
      <c r="G22" s="19">
        <v>0.5</v>
      </c>
      <c r="H22" s="19">
        <v>60</v>
      </c>
      <c r="I22" t="s">
        <v>74</v>
      </c>
      <c r="J22" s="32" t="s">
        <v>75</v>
      </c>
      <c r="K22" s="344" t="s">
        <v>69</v>
      </c>
      <c r="L22" s="344"/>
      <c r="M22" s="344"/>
      <c r="N22" s="344"/>
      <c r="O22" s="344"/>
      <c r="P22">
        <v>6</v>
      </c>
      <c r="Q22" s="23"/>
    </row>
    <row r="23" spans="1:22">
      <c r="A23" s="2">
        <v>45678</v>
      </c>
      <c r="B23">
        <v>2.5</v>
      </c>
      <c r="C23" s="15">
        <v>2</v>
      </c>
      <c r="D23" s="14"/>
      <c r="E23" s="19"/>
      <c r="F23" s="19"/>
      <c r="G23" s="19">
        <v>1</v>
      </c>
      <c r="H23">
        <v>0</v>
      </c>
      <c r="I23" t="s">
        <v>76</v>
      </c>
      <c r="J23" s="33" t="s">
        <v>77</v>
      </c>
      <c r="K23" s="344" t="s">
        <v>44</v>
      </c>
      <c r="L23" s="344"/>
      <c r="M23" s="344"/>
      <c r="N23" s="344"/>
      <c r="O23" s="344"/>
      <c r="P23">
        <v>4.5</v>
      </c>
      <c r="Q23" s="343" t="s">
        <v>56</v>
      </c>
      <c r="R23" s="343"/>
      <c r="S23" s="343"/>
      <c r="T23" s="343"/>
      <c r="U23" s="343"/>
      <c r="V23" s="343"/>
    </row>
    <row r="24" spans="1:22">
      <c r="A24" s="2">
        <v>45679</v>
      </c>
      <c r="B24">
        <v>3</v>
      </c>
      <c r="C24" s="15"/>
      <c r="D24" s="15"/>
      <c r="E24" s="19"/>
      <c r="F24" s="19">
        <v>0.5</v>
      </c>
      <c r="G24" s="19">
        <v>0.5</v>
      </c>
      <c r="H24">
        <v>30</v>
      </c>
      <c r="I24" s="20">
        <v>24</v>
      </c>
      <c r="J24" s="32" t="s">
        <v>80</v>
      </c>
      <c r="K24" s="344" t="s">
        <v>67</v>
      </c>
      <c r="L24" s="344"/>
      <c r="M24" s="344"/>
      <c r="N24" s="344"/>
      <c r="O24" s="344"/>
      <c r="P24">
        <v>8</v>
      </c>
      <c r="Q24" s="343" t="s">
        <v>57</v>
      </c>
      <c r="R24" s="343"/>
      <c r="S24" s="343"/>
      <c r="T24" s="343"/>
      <c r="U24" s="343"/>
      <c r="V24" s="343"/>
    </row>
    <row r="25" spans="1:22">
      <c r="A25" s="2">
        <v>45680</v>
      </c>
      <c r="B25">
        <v>0</v>
      </c>
      <c r="C25" s="15"/>
      <c r="D25" s="14"/>
      <c r="E25" s="19"/>
      <c r="F25" s="19"/>
      <c r="G25" s="19"/>
      <c r="H25" t="s">
        <v>79</v>
      </c>
      <c r="I25" s="1" t="s">
        <v>79</v>
      </c>
      <c r="J25" t="s">
        <v>78</v>
      </c>
      <c r="K25" s="344" t="s">
        <v>49</v>
      </c>
      <c r="L25" s="344"/>
      <c r="M25" s="344"/>
      <c r="N25" s="344"/>
      <c r="O25" s="344"/>
      <c r="P25">
        <v>4.5</v>
      </c>
      <c r="Q25" s="343"/>
      <c r="R25" s="343"/>
      <c r="S25" s="343"/>
      <c r="T25" s="343"/>
      <c r="U25" s="343"/>
      <c r="V25" s="343"/>
    </row>
    <row r="26" spans="1:22">
      <c r="A26" s="2">
        <v>45681</v>
      </c>
      <c r="B26" s="20">
        <v>2</v>
      </c>
      <c r="C26" s="15">
        <v>0.5</v>
      </c>
      <c r="D26" s="15"/>
      <c r="E26" s="19"/>
      <c r="H26">
        <v>45</v>
      </c>
      <c r="I26" s="21" t="s">
        <v>81</v>
      </c>
      <c r="J26" t="s">
        <v>82</v>
      </c>
      <c r="K26" s="343" t="s">
        <v>51</v>
      </c>
      <c r="L26" s="343"/>
      <c r="M26" s="343"/>
      <c r="N26" s="343"/>
      <c r="O26" s="343"/>
      <c r="P26">
        <v>2</v>
      </c>
      <c r="Q26" s="343"/>
      <c r="R26" s="343"/>
      <c r="S26" s="343"/>
      <c r="T26" s="343"/>
      <c r="U26" s="343"/>
      <c r="V26" s="343"/>
    </row>
    <row r="27" spans="1:22" ht="30">
      <c r="A27" s="2">
        <v>45682</v>
      </c>
      <c r="B27">
        <v>2.5</v>
      </c>
      <c r="C27" s="15">
        <v>4.5</v>
      </c>
      <c r="D27" s="15">
        <v>1</v>
      </c>
      <c r="E27" s="19"/>
      <c r="F27" s="19">
        <v>0.5</v>
      </c>
      <c r="G27" s="19">
        <v>4</v>
      </c>
      <c r="I27">
        <v>27</v>
      </c>
      <c r="J27" s="1" t="s">
        <v>85</v>
      </c>
      <c r="K27" s="343" t="s">
        <v>62</v>
      </c>
      <c r="L27" s="343"/>
      <c r="M27" s="343"/>
      <c r="N27" s="343"/>
      <c r="O27" s="343"/>
      <c r="P27">
        <v>1.5</v>
      </c>
      <c r="Q27" s="343"/>
      <c r="R27" s="343"/>
      <c r="S27" s="343"/>
      <c r="T27" s="343"/>
      <c r="U27" s="343"/>
      <c r="V27" s="343"/>
    </row>
    <row r="28" spans="1:22" ht="30">
      <c r="A28" s="2">
        <v>45683</v>
      </c>
      <c r="B28">
        <v>5</v>
      </c>
      <c r="C28" s="15">
        <v>2.25</v>
      </c>
      <c r="D28" s="15"/>
      <c r="E28" s="19">
        <v>1.5</v>
      </c>
      <c r="F28" s="19">
        <v>2</v>
      </c>
      <c r="G28" s="19">
        <v>3.5</v>
      </c>
      <c r="H28" s="19">
        <v>80</v>
      </c>
      <c r="I28" t="s">
        <v>100</v>
      </c>
      <c r="J28" s="1" t="s">
        <v>92</v>
      </c>
      <c r="K28" s="343" t="s">
        <v>64</v>
      </c>
      <c r="L28" s="343"/>
      <c r="M28" s="343"/>
      <c r="N28" s="343"/>
      <c r="O28" s="343"/>
      <c r="P28">
        <v>0.5</v>
      </c>
      <c r="Q28" s="343"/>
      <c r="R28" s="343"/>
      <c r="S28" s="343"/>
      <c r="T28" s="343"/>
      <c r="U28" s="343"/>
      <c r="V28" s="343"/>
    </row>
    <row r="29" spans="1:22">
      <c r="A29" s="2">
        <v>45684</v>
      </c>
      <c r="B29">
        <v>5</v>
      </c>
      <c r="C29" s="15">
        <v>1</v>
      </c>
      <c r="D29" s="15"/>
      <c r="E29" s="19">
        <v>2.5</v>
      </c>
      <c r="F29" s="19"/>
      <c r="G29" s="19"/>
      <c r="H29">
        <v>50</v>
      </c>
      <c r="I29" t="s">
        <v>101</v>
      </c>
      <c r="J29" s="34" t="s">
        <v>102</v>
      </c>
      <c r="K29" s="342" t="s">
        <v>91</v>
      </c>
      <c r="L29" s="342"/>
      <c r="M29" s="342"/>
      <c r="N29" s="342"/>
      <c r="O29" s="342"/>
      <c r="P29">
        <v>1.5</v>
      </c>
      <c r="Q29" s="343"/>
      <c r="R29" s="343"/>
      <c r="S29" s="343"/>
      <c r="T29" s="343"/>
      <c r="U29" s="343"/>
      <c r="V29" s="343"/>
    </row>
    <row r="30" spans="1:22">
      <c r="A30" s="2">
        <v>45685</v>
      </c>
      <c r="B30">
        <v>1</v>
      </c>
      <c r="C30" s="15"/>
      <c r="D30" s="15"/>
      <c r="E30" s="19"/>
      <c r="F30" s="19">
        <v>2</v>
      </c>
      <c r="G30" s="19">
        <v>2</v>
      </c>
      <c r="J30" s="1" t="s">
        <v>103</v>
      </c>
      <c r="K30" s="342" t="s">
        <v>94</v>
      </c>
      <c r="L30" s="342"/>
      <c r="M30" s="342"/>
      <c r="N30" s="342"/>
      <c r="O30" s="342"/>
      <c r="P30">
        <v>2</v>
      </c>
      <c r="Q30" s="343"/>
      <c r="R30" s="343"/>
      <c r="S30" s="343"/>
      <c r="T30" s="343"/>
      <c r="U30" s="343"/>
      <c r="V30" s="343"/>
    </row>
    <row r="31" spans="1:22">
      <c r="A31" s="2">
        <v>45686</v>
      </c>
      <c r="B31">
        <v>1</v>
      </c>
      <c r="C31" s="15"/>
      <c r="D31" s="15"/>
      <c r="E31" s="19"/>
      <c r="F31" s="19">
        <v>2</v>
      </c>
      <c r="G31" s="19"/>
      <c r="H31" s="19"/>
      <c r="I31" t="s">
        <v>66</v>
      </c>
      <c r="J31" s="22" t="s">
        <v>105</v>
      </c>
      <c r="K31" s="342" t="s">
        <v>104</v>
      </c>
      <c r="L31" s="342"/>
      <c r="M31" s="342"/>
      <c r="N31" s="342"/>
      <c r="O31" s="342"/>
      <c r="P31">
        <v>2</v>
      </c>
      <c r="Q31" s="343"/>
      <c r="R31" s="343"/>
      <c r="S31" s="343"/>
      <c r="T31" s="343"/>
      <c r="U31" s="343"/>
      <c r="V31" s="343"/>
    </row>
    <row r="32" spans="1:22">
      <c r="A32" s="2">
        <v>45687</v>
      </c>
      <c r="B32">
        <v>3</v>
      </c>
      <c r="C32" s="15">
        <v>0.5</v>
      </c>
      <c r="D32" s="15"/>
      <c r="E32" s="19"/>
      <c r="F32" s="19">
        <v>0.5</v>
      </c>
      <c r="G32" s="19">
        <v>1</v>
      </c>
      <c r="I32" t="s">
        <v>66</v>
      </c>
      <c r="J32" s="1" t="s">
        <v>106</v>
      </c>
      <c r="K32" s="341"/>
      <c r="L32" s="341"/>
      <c r="M32" s="341"/>
      <c r="N32" s="341"/>
      <c r="O32" s="341"/>
      <c r="Q32" s="343"/>
      <c r="R32" s="343"/>
      <c r="S32" s="343"/>
      <c r="T32" s="343"/>
      <c r="U32" s="343"/>
      <c r="V32" s="343"/>
    </row>
    <row r="33" spans="1:22">
      <c r="A33" s="2">
        <v>45688</v>
      </c>
      <c r="C33" s="15">
        <v>0.75</v>
      </c>
      <c r="D33" s="15"/>
      <c r="E33" s="19">
        <v>1.5</v>
      </c>
      <c r="F33" s="19">
        <v>0.75</v>
      </c>
      <c r="G33" s="19"/>
      <c r="J33" s="1" t="s">
        <v>107</v>
      </c>
      <c r="K33" s="341"/>
      <c r="L33" s="341"/>
      <c r="M33" s="341"/>
      <c r="N33" s="341"/>
      <c r="O33" s="341"/>
      <c r="Q33" s="343"/>
      <c r="R33" s="343"/>
      <c r="S33" s="343"/>
      <c r="T33" s="343"/>
      <c r="U33" s="343"/>
      <c r="V33" s="343"/>
    </row>
    <row r="34" spans="1:22">
      <c r="C34">
        <v>3</v>
      </c>
      <c r="K34" s="341"/>
      <c r="L34" s="341"/>
      <c r="M34" s="341"/>
      <c r="N34" s="341"/>
      <c r="O34" s="341"/>
      <c r="R34" s="23"/>
      <c r="S34" s="23"/>
      <c r="T34" s="23"/>
      <c r="U34" s="23"/>
    </row>
  </sheetData>
  <mergeCells count="54">
    <mergeCell ref="K26:O26"/>
    <mergeCell ref="K27:O27"/>
    <mergeCell ref="K28:O28"/>
    <mergeCell ref="Q6:S6"/>
    <mergeCell ref="K21:O21"/>
    <mergeCell ref="K16:O16"/>
    <mergeCell ref="K17:O17"/>
    <mergeCell ref="K18:O18"/>
    <mergeCell ref="K19:O19"/>
    <mergeCell ref="K6:O6"/>
    <mergeCell ref="K12:O12"/>
    <mergeCell ref="K15:O15"/>
    <mergeCell ref="R13:V13"/>
    <mergeCell ref="K7:O7"/>
    <mergeCell ref="K8:O8"/>
    <mergeCell ref="K9:O9"/>
    <mergeCell ref="K10:O10"/>
    <mergeCell ref="Q7:V7"/>
    <mergeCell ref="Q8:V8"/>
    <mergeCell ref="Q9:V9"/>
    <mergeCell ref="Q10:V10"/>
    <mergeCell ref="K22:O22"/>
    <mergeCell ref="K23:O23"/>
    <mergeCell ref="K24:O24"/>
    <mergeCell ref="K25:O25"/>
    <mergeCell ref="L1:R3"/>
    <mergeCell ref="R21:V21"/>
    <mergeCell ref="R17:V17"/>
    <mergeCell ref="R20:V20"/>
    <mergeCell ref="R18:V18"/>
    <mergeCell ref="R19:V19"/>
    <mergeCell ref="R16:V16"/>
    <mergeCell ref="R12:V12"/>
    <mergeCell ref="R15:V15"/>
    <mergeCell ref="R14:V14"/>
    <mergeCell ref="K13:O13"/>
    <mergeCell ref="K14:O14"/>
    <mergeCell ref="Q23:V23"/>
    <mergeCell ref="Q24:V24"/>
    <mergeCell ref="Q25:V25"/>
    <mergeCell ref="Q26:V26"/>
    <mergeCell ref="Q27:V27"/>
    <mergeCell ref="Q33:V33"/>
    <mergeCell ref="Q28:V28"/>
    <mergeCell ref="Q29:V29"/>
    <mergeCell ref="Q30:V30"/>
    <mergeCell ref="Q31:V31"/>
    <mergeCell ref="Q32:V32"/>
    <mergeCell ref="K34:O34"/>
    <mergeCell ref="K29:O29"/>
    <mergeCell ref="K30:O30"/>
    <mergeCell ref="K31:O31"/>
    <mergeCell ref="K32:O32"/>
    <mergeCell ref="K33:O33"/>
  </mergeCells>
  <conditionalFormatting sqref="C2:I2 C34 K1 C1:D1 F1:I1">
    <cfRule type="cellIs" priority="6" operator="lessThanOrEqual">
      <formula>$C$34</formula>
    </cfRule>
  </conditionalFormatting>
  <conditionalFormatting sqref="B1:B2 B34:B1048576">
    <cfRule type="cellIs" dxfId="103" priority="7" operator="greaterThanOrEqual">
      <formula>$C$34</formula>
    </cfRule>
  </conditionalFormatting>
  <conditionalFormatting sqref="B27:B33 B3:B25">
    <cfRule type="cellIs" dxfId="102" priority="8" operator="greaterThan">
      <formula>$C$34</formula>
    </cfRule>
    <cfRule type="cellIs" dxfId="101" priority="9" operator="greaterThan">
      <formula>$C$34</formula>
    </cfRule>
    <cfRule type="cellIs" dxfId="100" priority="10" operator="lessThan">
      <formula>7.75</formula>
    </cfRule>
    <cfRule type="cellIs" dxfId="99" priority="11" operator="lessThan">
      <formula>$C$34</formula>
    </cfRule>
  </conditionalFormatting>
  <conditionalFormatting sqref="E1">
    <cfRule type="cellIs" priority="5" operator="lessThanOrEqual">
      <formula>$C$34</formula>
    </cfRule>
  </conditionalFormatting>
  <conditionalFormatting sqref="B26">
    <cfRule type="cellIs" dxfId="98" priority="3" operator="lessThan">
      <formula>7.75</formula>
    </cfRule>
    <cfRule type="cellIs" dxfId="97" priority="4" operator="lessThan">
      <formula>$C$34</formula>
    </cfRule>
  </conditionalFormatting>
  <conditionalFormatting sqref="B3:B30">
    <cfRule type="cellIs" dxfId="96" priority="1" operator="greaterThan">
      <formula>$C$34</formula>
    </cfRule>
    <cfRule type="cellIs" dxfId="95" priority="2" operator="greaterThan">
      <formula>$C$34</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47"/>
  <sheetViews>
    <sheetView workbookViewId="0">
      <selection activeCell="B8" sqref="B8:J8"/>
    </sheetView>
  </sheetViews>
  <sheetFormatPr defaultRowHeight="15"/>
  <cols>
    <col min="7" max="7" width="25.140625" customWidth="1"/>
    <col min="10" max="10" width="53.85546875" customWidth="1"/>
  </cols>
  <sheetData>
    <row r="1" spans="2:22" ht="16.5">
      <c r="B1" s="343" t="s">
        <v>86</v>
      </c>
      <c r="C1" s="343"/>
      <c r="D1" s="343"/>
      <c r="E1" s="343"/>
      <c r="F1" s="343"/>
      <c r="G1" s="343"/>
      <c r="H1" s="343"/>
      <c r="I1" s="343"/>
      <c r="J1" s="343"/>
      <c r="M1" s="390" t="s">
        <v>87</v>
      </c>
      <c r="N1" s="390"/>
      <c r="O1" s="390"/>
      <c r="P1" s="390"/>
      <c r="Q1" s="390"/>
      <c r="R1" s="390"/>
      <c r="S1" s="390"/>
      <c r="T1" s="390"/>
      <c r="U1" s="390"/>
      <c r="V1" s="390"/>
    </row>
    <row r="2" spans="2:22" ht="16.5">
      <c r="B2" s="364" t="s">
        <v>566</v>
      </c>
      <c r="C2" s="364"/>
      <c r="D2" s="364"/>
      <c r="E2" s="364"/>
      <c r="F2" s="364"/>
      <c r="G2" s="364"/>
      <c r="H2" s="364"/>
      <c r="I2" s="364"/>
      <c r="J2" s="364"/>
      <c r="M2" s="392" t="s">
        <v>263</v>
      </c>
      <c r="N2" s="393"/>
      <c r="O2" s="393"/>
      <c r="P2" s="393"/>
      <c r="Q2" s="393"/>
      <c r="R2" s="393"/>
      <c r="S2" s="393"/>
      <c r="T2" s="393"/>
      <c r="U2" s="393"/>
      <c r="V2" s="393"/>
    </row>
    <row r="3" spans="2:22">
      <c r="B3" s="370" t="s">
        <v>99</v>
      </c>
      <c r="C3" s="370"/>
      <c r="D3" s="370"/>
      <c r="E3" s="370"/>
      <c r="F3" s="370"/>
      <c r="G3" s="370"/>
      <c r="H3" s="370"/>
      <c r="I3" s="370"/>
      <c r="J3" s="370"/>
      <c r="K3" s="150"/>
      <c r="M3" s="394" t="s">
        <v>264</v>
      </c>
      <c r="N3" s="394"/>
      <c r="O3" s="394"/>
      <c r="P3" s="394"/>
      <c r="Q3" s="394"/>
      <c r="R3" s="394"/>
      <c r="S3" s="394"/>
      <c r="T3" s="394"/>
      <c r="U3" s="394"/>
      <c r="V3" s="394"/>
    </row>
    <row r="4" spans="2:22" ht="15" customHeight="1">
      <c r="B4" s="366" t="s">
        <v>649</v>
      </c>
      <c r="C4" s="366"/>
      <c r="D4" s="366"/>
      <c r="E4" s="366"/>
      <c r="F4" s="366"/>
      <c r="G4" s="366"/>
      <c r="H4" s="366"/>
      <c r="I4" s="366"/>
      <c r="J4" s="366"/>
      <c r="K4" s="150"/>
      <c r="M4" s="394"/>
      <c r="N4" s="394"/>
      <c r="O4" s="394"/>
      <c r="P4" s="394"/>
      <c r="Q4" s="394"/>
      <c r="R4" s="394"/>
      <c r="S4" s="394"/>
      <c r="T4" s="394"/>
      <c r="U4" s="394"/>
      <c r="V4" s="394"/>
    </row>
    <row r="5" spans="2:22" ht="15" customHeight="1">
      <c r="B5" s="366"/>
      <c r="C5" s="366"/>
      <c r="D5" s="366"/>
      <c r="E5" s="366"/>
      <c r="F5" s="366"/>
      <c r="G5" s="366"/>
      <c r="H5" s="366"/>
      <c r="I5" s="366"/>
      <c r="J5" s="366"/>
      <c r="K5" s="150"/>
      <c r="M5" s="343" t="s">
        <v>185</v>
      </c>
      <c r="N5" s="343"/>
      <c r="O5" s="343"/>
      <c r="P5" s="343"/>
      <c r="Q5" s="343"/>
      <c r="R5" s="343"/>
      <c r="S5" s="343"/>
      <c r="T5" s="343"/>
      <c r="U5" s="343"/>
      <c r="V5" s="343"/>
    </row>
    <row r="6" spans="2:22" ht="35.25" customHeight="1">
      <c r="B6" s="366"/>
      <c r="C6" s="366"/>
      <c r="D6" s="366"/>
      <c r="E6" s="366"/>
      <c r="F6" s="366"/>
      <c r="G6" s="366"/>
      <c r="H6" s="366"/>
      <c r="I6" s="366"/>
      <c r="J6" s="366"/>
      <c r="K6" s="150"/>
      <c r="M6" s="343" t="s">
        <v>186</v>
      </c>
      <c r="N6" s="343"/>
      <c r="O6" s="343"/>
      <c r="P6" s="343"/>
      <c r="Q6" s="343"/>
      <c r="R6" s="343"/>
      <c r="S6" s="343"/>
      <c r="T6" s="343"/>
      <c r="U6" s="343"/>
      <c r="V6" s="343"/>
    </row>
    <row r="7" spans="2:22" ht="15.75" thickBot="1">
      <c r="B7" s="365"/>
      <c r="C7" s="365"/>
      <c r="D7" s="365"/>
      <c r="E7" s="365"/>
      <c r="F7" s="365"/>
      <c r="G7" s="365"/>
      <c r="H7" s="365"/>
      <c r="I7" s="365"/>
      <c r="J7" s="365"/>
      <c r="M7" s="343"/>
      <c r="N7" s="343"/>
      <c r="O7" s="343"/>
      <c r="P7" s="343"/>
      <c r="Q7" s="343"/>
      <c r="R7" s="343"/>
      <c r="S7" s="343"/>
      <c r="T7" s="343"/>
      <c r="U7" s="343"/>
      <c r="V7" s="343"/>
    </row>
    <row r="8" spans="2:22" ht="52.5" customHeight="1" thickTop="1" thickBot="1">
      <c r="B8" s="367" t="s">
        <v>339</v>
      </c>
      <c r="C8" s="367"/>
      <c r="D8" s="367"/>
      <c r="E8" s="367"/>
      <c r="F8" s="367"/>
      <c r="G8" s="367"/>
      <c r="H8" s="367"/>
      <c r="I8" s="367"/>
      <c r="J8" s="367"/>
      <c r="M8" s="391" t="s">
        <v>727</v>
      </c>
      <c r="N8" s="391"/>
      <c r="O8" s="391"/>
      <c r="P8" s="391"/>
      <c r="Q8" s="391"/>
      <c r="R8" s="391"/>
      <c r="S8" s="391"/>
      <c r="T8" s="391"/>
      <c r="U8" s="391"/>
      <c r="V8" s="391"/>
    </row>
    <row r="9" spans="2:22" ht="15.75" thickTop="1">
      <c r="B9" s="368" t="s">
        <v>651</v>
      </c>
      <c r="C9" s="368"/>
      <c r="D9" s="368"/>
      <c r="E9" s="368"/>
      <c r="F9" s="368"/>
      <c r="G9" s="368"/>
      <c r="H9" s="368"/>
      <c r="I9" s="368"/>
      <c r="J9" s="368"/>
      <c r="M9" s="343"/>
      <c r="N9" s="343"/>
      <c r="O9" s="343"/>
      <c r="P9" s="343"/>
      <c r="Q9" s="343"/>
      <c r="R9" s="343"/>
      <c r="S9" s="343"/>
      <c r="T9" s="343"/>
      <c r="U9" s="343"/>
      <c r="V9" s="343"/>
    </row>
    <row r="10" spans="2:22">
      <c r="B10" s="371" t="s">
        <v>347</v>
      </c>
      <c r="C10" s="372"/>
      <c r="D10" s="372"/>
      <c r="E10" s="372"/>
      <c r="F10" s="372"/>
      <c r="G10" s="372"/>
      <c r="H10" s="372"/>
      <c r="I10" s="372"/>
      <c r="J10" s="372"/>
      <c r="M10" s="343" t="s">
        <v>88</v>
      </c>
      <c r="N10" s="343"/>
      <c r="O10" s="343"/>
      <c r="P10" s="343"/>
      <c r="Q10" s="343"/>
      <c r="R10" s="343"/>
      <c r="S10" s="343"/>
      <c r="T10" s="343"/>
      <c r="U10" s="343"/>
      <c r="V10" s="343"/>
    </row>
    <row r="11" spans="2:22">
      <c r="B11" s="372"/>
      <c r="C11" s="372"/>
      <c r="D11" s="372"/>
      <c r="E11" s="372"/>
      <c r="F11" s="372"/>
      <c r="G11" s="372"/>
      <c r="H11" s="372"/>
      <c r="I11" s="372"/>
      <c r="J11" s="372"/>
      <c r="M11" s="343"/>
      <c r="N11" s="343"/>
      <c r="O11" s="343"/>
      <c r="P11" s="343"/>
      <c r="Q11" s="343"/>
      <c r="R11" s="343"/>
      <c r="S11" s="343"/>
      <c r="T11" s="343"/>
      <c r="U11" s="343"/>
      <c r="V11" s="343"/>
    </row>
    <row r="12" spans="2:22" ht="15" customHeight="1">
      <c r="B12" s="373"/>
      <c r="C12" s="373"/>
      <c r="D12" s="373"/>
      <c r="E12" s="373"/>
      <c r="F12" s="373"/>
      <c r="G12" s="373"/>
      <c r="H12" s="373"/>
      <c r="I12" s="373"/>
      <c r="J12" s="373"/>
      <c r="M12" s="397" t="s">
        <v>257</v>
      </c>
      <c r="N12" s="397"/>
      <c r="O12" s="397"/>
      <c r="P12" s="397"/>
      <c r="Q12" s="397"/>
      <c r="R12" s="397"/>
      <c r="S12" s="397"/>
      <c r="T12" s="397"/>
      <c r="U12" s="397"/>
      <c r="V12" s="397"/>
    </row>
    <row r="13" spans="2:22" ht="16.5">
      <c r="B13" s="374"/>
      <c r="C13" s="374"/>
      <c r="D13" s="374"/>
      <c r="E13" s="374"/>
      <c r="F13" s="374"/>
      <c r="G13" s="374"/>
      <c r="H13" s="374"/>
      <c r="I13" s="374"/>
      <c r="J13" s="374"/>
      <c r="M13" s="397"/>
      <c r="N13" s="397"/>
      <c r="O13" s="397"/>
      <c r="P13" s="397"/>
      <c r="Q13" s="397"/>
      <c r="R13" s="397"/>
      <c r="S13" s="397"/>
      <c r="T13" s="397"/>
      <c r="U13" s="397"/>
      <c r="V13" s="397"/>
    </row>
    <row r="14" spans="2:22" ht="16.5">
      <c r="B14" s="375" t="s">
        <v>621</v>
      </c>
      <c r="C14" s="375"/>
      <c r="D14" s="375"/>
      <c r="E14" s="375"/>
      <c r="F14" s="375"/>
      <c r="G14" s="375"/>
      <c r="H14" s="375"/>
      <c r="I14" s="375"/>
      <c r="J14" s="375"/>
      <c r="M14" s="397"/>
      <c r="N14" s="397"/>
      <c r="O14" s="397"/>
      <c r="P14" s="397"/>
      <c r="Q14" s="397"/>
      <c r="R14" s="397"/>
      <c r="S14" s="397"/>
      <c r="T14" s="397"/>
      <c r="U14" s="397"/>
      <c r="V14" s="397"/>
    </row>
    <row r="15" spans="2:22" ht="16.5">
      <c r="B15" s="374" t="s">
        <v>261</v>
      </c>
      <c r="C15" s="374"/>
      <c r="D15" s="374"/>
      <c r="E15" s="374"/>
      <c r="F15" s="374"/>
      <c r="G15" s="374"/>
      <c r="H15" s="374"/>
      <c r="I15" s="374"/>
      <c r="J15" s="374"/>
      <c r="M15" s="397"/>
      <c r="N15" s="397"/>
      <c r="O15" s="397"/>
      <c r="P15" s="397"/>
      <c r="Q15" s="397"/>
      <c r="R15" s="397"/>
      <c r="S15" s="397"/>
      <c r="T15" s="397"/>
      <c r="U15" s="397"/>
      <c r="V15" s="397"/>
    </row>
    <row r="16" spans="2:22" ht="18">
      <c r="B16" s="376" t="s">
        <v>201</v>
      </c>
      <c r="C16" s="376"/>
      <c r="D16" s="376"/>
      <c r="E16" s="376"/>
      <c r="F16" s="376"/>
      <c r="G16" s="376"/>
      <c r="H16" s="376"/>
      <c r="I16" s="376"/>
      <c r="J16" s="376"/>
      <c r="M16" s="397"/>
      <c r="N16" s="397"/>
      <c r="O16" s="397"/>
      <c r="P16" s="397"/>
      <c r="Q16" s="397"/>
      <c r="R16" s="397"/>
      <c r="S16" s="397"/>
      <c r="T16" s="397"/>
      <c r="U16" s="397"/>
      <c r="V16" s="397"/>
    </row>
    <row r="17" spans="2:22">
      <c r="B17" s="343" t="s">
        <v>374</v>
      </c>
      <c r="C17" s="343"/>
      <c r="D17" s="343"/>
      <c r="E17" s="343"/>
      <c r="F17" s="343"/>
      <c r="G17" s="343"/>
      <c r="H17" s="343"/>
      <c r="I17" s="343"/>
      <c r="J17" s="343"/>
      <c r="M17" s="397"/>
      <c r="N17" s="397"/>
      <c r="O17" s="397"/>
      <c r="P17" s="397"/>
      <c r="Q17" s="397"/>
      <c r="R17" s="397"/>
      <c r="S17" s="397"/>
      <c r="T17" s="397"/>
      <c r="U17" s="397"/>
      <c r="V17" s="397"/>
    </row>
    <row r="18" spans="2:22">
      <c r="B18" s="369" t="s">
        <v>389</v>
      </c>
      <c r="C18" s="369"/>
      <c r="D18" s="369"/>
      <c r="E18" s="369"/>
      <c r="F18" s="369"/>
      <c r="G18" s="369"/>
      <c r="H18" s="369"/>
      <c r="I18" s="369"/>
      <c r="J18" s="369"/>
      <c r="M18" s="397"/>
      <c r="N18" s="397"/>
      <c r="O18" s="397"/>
      <c r="P18" s="397"/>
      <c r="Q18" s="397"/>
      <c r="R18" s="397"/>
      <c r="S18" s="397"/>
      <c r="T18" s="397"/>
      <c r="U18" s="397"/>
      <c r="V18" s="397"/>
    </row>
    <row r="19" spans="2:22">
      <c r="B19" s="369" t="s">
        <v>622</v>
      </c>
      <c r="C19" s="369"/>
      <c r="D19" s="369"/>
      <c r="E19" s="369"/>
      <c r="F19" s="369"/>
      <c r="G19" s="369"/>
      <c r="H19" s="369"/>
      <c r="I19" s="369"/>
      <c r="J19" s="369"/>
      <c r="M19" s="397"/>
      <c r="N19" s="397"/>
      <c r="O19" s="397"/>
      <c r="P19" s="397"/>
      <c r="Q19" s="397"/>
      <c r="R19" s="397"/>
      <c r="S19" s="397"/>
      <c r="T19" s="397"/>
      <c r="U19" s="397"/>
      <c r="V19" s="397"/>
    </row>
    <row r="20" spans="2:22" ht="15" customHeight="1">
      <c r="B20" s="343" t="s">
        <v>168</v>
      </c>
      <c r="C20" s="343"/>
      <c r="D20" s="343"/>
      <c r="E20" s="343"/>
      <c r="F20" s="343"/>
      <c r="G20" s="343"/>
      <c r="H20" s="343"/>
      <c r="I20" s="343"/>
      <c r="J20" s="343"/>
      <c r="M20" s="343"/>
      <c r="N20" s="343"/>
      <c r="O20" s="343"/>
      <c r="P20" s="343"/>
      <c r="Q20" s="343"/>
      <c r="R20" s="343"/>
      <c r="S20" s="343"/>
      <c r="T20" s="343"/>
      <c r="U20" s="343"/>
      <c r="V20" s="343"/>
    </row>
    <row r="21" spans="2:22">
      <c r="M21" s="343"/>
      <c r="N21" s="343"/>
      <c r="O21" s="343"/>
      <c r="P21" s="343"/>
      <c r="Q21" s="343"/>
      <c r="R21" s="343"/>
      <c r="S21" s="343"/>
      <c r="T21" s="343"/>
      <c r="U21" s="343"/>
      <c r="V21" s="343"/>
    </row>
    <row r="22" spans="2:22" ht="15" customHeight="1">
      <c r="B22" s="343"/>
      <c r="C22" s="343"/>
      <c r="D22" s="343"/>
      <c r="E22" s="343"/>
      <c r="F22" s="343"/>
      <c r="G22" s="343"/>
      <c r="H22" s="343"/>
      <c r="I22" s="343"/>
      <c r="J22" s="343"/>
      <c r="M22" s="395" t="s">
        <v>265</v>
      </c>
      <c r="N22" s="395"/>
      <c r="O22" s="395"/>
      <c r="P22" s="395"/>
      <c r="Q22" s="395"/>
      <c r="R22" s="395"/>
      <c r="S22" s="395"/>
      <c r="T22" s="395"/>
      <c r="U22" s="395"/>
      <c r="V22" s="395"/>
    </row>
    <row r="23" spans="2:22">
      <c r="B23" s="343" t="s">
        <v>269</v>
      </c>
      <c r="C23" s="343"/>
      <c r="D23" s="343"/>
      <c r="E23" s="343"/>
      <c r="F23" s="343"/>
      <c r="G23" s="343"/>
      <c r="H23" s="343"/>
      <c r="I23" s="343"/>
      <c r="J23" s="343"/>
      <c r="M23" s="395"/>
      <c r="N23" s="395"/>
      <c r="O23" s="395"/>
      <c r="P23" s="395"/>
      <c r="Q23" s="395"/>
      <c r="R23" s="395"/>
      <c r="S23" s="395"/>
      <c r="T23" s="395"/>
      <c r="U23" s="395"/>
      <c r="V23" s="395"/>
    </row>
    <row r="24" spans="2:22" ht="30" customHeight="1">
      <c r="B24" s="384" t="s">
        <v>652</v>
      </c>
      <c r="C24" s="385"/>
      <c r="D24" s="385"/>
      <c r="E24" s="385"/>
      <c r="F24" s="385"/>
      <c r="G24" s="385"/>
      <c r="H24" s="385"/>
      <c r="I24" s="385"/>
      <c r="J24" s="386"/>
      <c r="M24" s="395"/>
      <c r="N24" s="395"/>
      <c r="O24" s="395"/>
      <c r="P24" s="395"/>
      <c r="Q24" s="395"/>
      <c r="R24" s="395"/>
      <c r="S24" s="395"/>
      <c r="T24" s="395"/>
      <c r="U24" s="395"/>
      <c r="V24" s="395"/>
    </row>
    <row r="25" spans="2:22" ht="15.75" customHeight="1">
      <c r="B25" s="387"/>
      <c r="C25" s="388"/>
      <c r="D25" s="388"/>
      <c r="E25" s="388"/>
      <c r="F25" s="388"/>
      <c r="G25" s="388"/>
      <c r="H25" s="388"/>
      <c r="I25" s="388"/>
      <c r="J25" s="389"/>
      <c r="M25" s="395"/>
      <c r="N25" s="395"/>
      <c r="O25" s="395"/>
      <c r="P25" s="395"/>
      <c r="Q25" s="395"/>
      <c r="R25" s="395"/>
      <c r="S25" s="395"/>
      <c r="T25" s="395"/>
      <c r="U25" s="395"/>
      <c r="V25" s="395"/>
    </row>
    <row r="26" spans="2:22" ht="15.75">
      <c r="B26" s="377" t="s">
        <v>596</v>
      </c>
      <c r="C26" s="378"/>
      <c r="D26" s="378"/>
      <c r="E26" s="378"/>
      <c r="F26" s="378"/>
      <c r="G26" s="378"/>
      <c r="H26" s="378"/>
      <c r="I26" s="378"/>
      <c r="J26" s="379"/>
      <c r="M26" s="395"/>
      <c r="N26" s="395"/>
      <c r="O26" s="395"/>
      <c r="P26" s="395"/>
      <c r="Q26" s="395"/>
      <c r="R26" s="395"/>
      <c r="S26" s="395"/>
      <c r="T26" s="395"/>
      <c r="U26" s="395"/>
      <c r="V26" s="395"/>
    </row>
    <row r="27" spans="2:22">
      <c r="B27" s="380" t="s">
        <v>653</v>
      </c>
      <c r="C27" s="381"/>
      <c r="D27" s="381"/>
      <c r="E27" s="381"/>
      <c r="F27" s="381"/>
      <c r="G27" s="381"/>
      <c r="H27" s="381"/>
      <c r="I27" s="381"/>
      <c r="J27" s="382"/>
      <c r="M27" s="395"/>
      <c r="N27" s="395"/>
      <c r="O27" s="395"/>
      <c r="P27" s="395"/>
      <c r="Q27" s="395"/>
      <c r="R27" s="395"/>
      <c r="S27" s="395"/>
      <c r="T27" s="395"/>
      <c r="U27" s="395"/>
      <c r="V27" s="395"/>
    </row>
    <row r="28" spans="2:22" ht="15.75">
      <c r="B28" s="383"/>
      <c r="C28" s="383"/>
      <c r="D28" s="383"/>
      <c r="E28" s="383"/>
      <c r="F28" s="383"/>
      <c r="G28" s="383"/>
      <c r="H28" s="383"/>
      <c r="I28" s="383"/>
      <c r="J28" s="383"/>
      <c r="M28" s="395"/>
      <c r="N28" s="395"/>
      <c r="O28" s="395"/>
      <c r="P28" s="395"/>
      <c r="Q28" s="395"/>
      <c r="R28" s="395"/>
      <c r="S28" s="395"/>
      <c r="T28" s="395"/>
      <c r="U28" s="395"/>
      <c r="V28" s="395"/>
    </row>
    <row r="29" spans="2:22">
      <c r="B29" s="343"/>
      <c r="C29" s="343"/>
      <c r="D29" s="343"/>
      <c r="E29" s="343"/>
      <c r="F29" s="343"/>
      <c r="G29" s="343"/>
      <c r="H29" s="343"/>
      <c r="I29" s="343"/>
      <c r="J29" s="343"/>
      <c r="M29" s="395"/>
      <c r="N29" s="395"/>
      <c r="O29" s="395"/>
      <c r="P29" s="395"/>
      <c r="Q29" s="395"/>
      <c r="R29" s="395"/>
      <c r="S29" s="395"/>
      <c r="T29" s="395"/>
      <c r="U29" s="395"/>
      <c r="V29" s="395"/>
    </row>
    <row r="30" spans="2:22">
      <c r="B30" s="343"/>
      <c r="C30" s="343"/>
      <c r="D30" s="343"/>
      <c r="E30" s="343"/>
      <c r="F30" s="343"/>
      <c r="G30" s="343"/>
      <c r="H30" s="343"/>
      <c r="I30" s="343"/>
      <c r="J30" s="343"/>
      <c r="M30" s="395"/>
      <c r="N30" s="395"/>
      <c r="O30" s="395"/>
      <c r="P30" s="395"/>
      <c r="Q30" s="395"/>
      <c r="R30" s="395"/>
      <c r="S30" s="395"/>
      <c r="T30" s="395"/>
      <c r="U30" s="395"/>
      <c r="V30" s="395"/>
    </row>
    <row r="31" spans="2:22">
      <c r="B31" s="343" t="s">
        <v>392</v>
      </c>
      <c r="C31" s="343"/>
      <c r="D31" s="343"/>
      <c r="E31" s="343"/>
      <c r="F31" s="343"/>
      <c r="G31" s="343"/>
      <c r="H31" s="343"/>
      <c r="I31" s="343"/>
      <c r="J31" s="343"/>
      <c r="M31" s="395"/>
      <c r="N31" s="395"/>
      <c r="O31" s="395"/>
      <c r="P31" s="395"/>
      <c r="Q31" s="395"/>
      <c r="R31" s="395"/>
      <c r="S31" s="395"/>
      <c r="T31" s="395"/>
      <c r="U31" s="395"/>
      <c r="V31" s="395"/>
    </row>
    <row r="32" spans="2:22">
      <c r="B32" s="343" t="s">
        <v>680</v>
      </c>
      <c r="C32" s="343"/>
      <c r="D32" s="343"/>
      <c r="E32" s="343"/>
      <c r="F32" s="343"/>
      <c r="G32" s="343"/>
      <c r="H32" s="343"/>
      <c r="I32" s="343"/>
      <c r="J32" s="343"/>
      <c r="M32" s="395"/>
      <c r="N32" s="395"/>
      <c r="O32" s="395"/>
      <c r="P32" s="395"/>
      <c r="Q32" s="395"/>
      <c r="R32" s="395"/>
      <c r="S32" s="395"/>
      <c r="T32" s="395"/>
      <c r="U32" s="395"/>
      <c r="V32" s="395"/>
    </row>
    <row r="34" spans="3:22">
      <c r="C34" s="363" t="s">
        <v>206</v>
      </c>
      <c r="D34" s="363"/>
      <c r="E34" s="85"/>
      <c r="G34" s="313" t="s">
        <v>641</v>
      </c>
    </row>
    <row r="35" spans="3:22">
      <c r="C35" s="363" t="s">
        <v>202</v>
      </c>
      <c r="D35" s="363"/>
      <c r="E35" s="85"/>
      <c r="G35" s="313" t="s">
        <v>642</v>
      </c>
    </row>
    <row r="36" spans="3:22">
      <c r="C36" s="363" t="s">
        <v>203</v>
      </c>
      <c r="D36" s="363"/>
      <c r="E36" s="85"/>
      <c r="G36" s="313" t="s">
        <v>643</v>
      </c>
    </row>
    <row r="37" spans="3:22">
      <c r="C37" s="363" t="s">
        <v>204</v>
      </c>
      <c r="D37" s="363"/>
      <c r="E37" s="85"/>
      <c r="G37" s="313" t="s">
        <v>644</v>
      </c>
      <c r="M37" s="343" t="s">
        <v>96</v>
      </c>
      <c r="N37" s="343"/>
      <c r="O37" s="343"/>
      <c r="P37" s="343"/>
      <c r="Q37" s="343"/>
      <c r="R37" s="343"/>
      <c r="S37" s="343"/>
      <c r="T37" s="343"/>
      <c r="U37" s="343"/>
      <c r="V37" s="343"/>
    </row>
    <row r="38" spans="3:22">
      <c r="C38" s="363" t="s">
        <v>205</v>
      </c>
      <c r="D38" s="363"/>
      <c r="E38" s="85"/>
      <c r="M38" s="343" t="s">
        <v>97</v>
      </c>
      <c r="N38" s="343"/>
      <c r="O38" s="343"/>
      <c r="P38" s="343"/>
      <c r="Q38" s="343"/>
      <c r="R38" s="343"/>
      <c r="S38" s="343"/>
      <c r="T38" s="343"/>
      <c r="U38" s="343"/>
      <c r="V38" s="343"/>
    </row>
    <row r="39" spans="3:22">
      <c r="M39" s="343" t="s">
        <v>98</v>
      </c>
      <c r="N39" s="343"/>
      <c r="O39" s="343"/>
      <c r="P39" s="343"/>
      <c r="Q39" s="343"/>
      <c r="R39" s="343"/>
      <c r="S39" s="343"/>
      <c r="T39" s="343"/>
      <c r="U39" s="343"/>
      <c r="V39" s="343"/>
    </row>
    <row r="40" spans="3:22">
      <c r="M40" s="343" t="s">
        <v>108</v>
      </c>
      <c r="N40" s="343"/>
      <c r="O40" s="343"/>
      <c r="P40" s="343"/>
      <c r="Q40" s="343"/>
      <c r="R40" s="343"/>
      <c r="S40" s="343"/>
      <c r="T40" s="343"/>
      <c r="U40" s="343"/>
      <c r="V40" s="343"/>
    </row>
    <row r="41" spans="3:22">
      <c r="M41" s="396" t="s">
        <v>121</v>
      </c>
      <c r="N41" s="343"/>
      <c r="O41" s="343"/>
      <c r="P41" s="343"/>
      <c r="Q41" s="343"/>
      <c r="R41" s="343"/>
      <c r="S41" s="343"/>
      <c r="T41" s="343"/>
      <c r="U41" s="343"/>
      <c r="V41" s="343"/>
    </row>
    <row r="42" spans="3:22">
      <c r="M42" s="343"/>
      <c r="N42" s="343"/>
      <c r="O42" s="343"/>
      <c r="P42" s="343"/>
      <c r="Q42" s="343"/>
      <c r="R42" s="343"/>
      <c r="S42" s="343"/>
      <c r="T42" s="343"/>
      <c r="U42" s="343"/>
      <c r="V42" s="343"/>
    </row>
    <row r="43" spans="3:22">
      <c r="M43" s="343"/>
      <c r="N43" s="343"/>
      <c r="O43" s="343"/>
      <c r="P43" s="343"/>
      <c r="Q43" s="343"/>
      <c r="R43" s="343"/>
      <c r="S43" s="343"/>
      <c r="T43" s="343"/>
      <c r="U43" s="343"/>
      <c r="V43" s="343"/>
    </row>
    <row r="44" spans="3:22">
      <c r="M44" s="343"/>
      <c r="N44" s="343"/>
      <c r="O44" s="343"/>
      <c r="P44" s="343"/>
      <c r="Q44" s="343"/>
      <c r="R44" s="343"/>
      <c r="S44" s="343"/>
      <c r="T44" s="343"/>
      <c r="U44" s="343"/>
      <c r="V44" s="343"/>
    </row>
    <row r="45" spans="3:22">
      <c r="M45" s="343"/>
      <c r="N45" s="343"/>
      <c r="O45" s="343"/>
      <c r="P45" s="343"/>
      <c r="Q45" s="343"/>
      <c r="R45" s="343"/>
      <c r="S45" s="343"/>
      <c r="T45" s="343"/>
      <c r="U45" s="343"/>
      <c r="V45" s="343"/>
    </row>
    <row r="46" spans="3:22">
      <c r="M46" s="343"/>
      <c r="N46" s="343"/>
      <c r="O46" s="343"/>
      <c r="P46" s="343"/>
      <c r="Q46" s="343"/>
      <c r="R46" s="343"/>
      <c r="S46" s="343"/>
      <c r="T46" s="343"/>
      <c r="U46" s="343"/>
      <c r="V46" s="343"/>
    </row>
    <row r="47" spans="3:22">
      <c r="M47" s="343"/>
      <c r="N47" s="343"/>
      <c r="O47" s="343"/>
      <c r="P47" s="343"/>
      <c r="Q47" s="343"/>
      <c r="R47" s="343"/>
      <c r="S47" s="343"/>
      <c r="T47" s="343"/>
      <c r="U47" s="343"/>
      <c r="V47" s="343"/>
    </row>
  </sheetData>
  <mergeCells count="58">
    <mergeCell ref="B1:J1"/>
    <mergeCell ref="M22:V32"/>
    <mergeCell ref="M37:V37"/>
    <mergeCell ref="M47:V47"/>
    <mergeCell ref="M38:V38"/>
    <mergeCell ref="M39:V39"/>
    <mergeCell ref="M40:V40"/>
    <mergeCell ref="M41:V41"/>
    <mergeCell ref="M42:V42"/>
    <mergeCell ref="M43:V43"/>
    <mergeCell ref="M44:V44"/>
    <mergeCell ref="M45:V45"/>
    <mergeCell ref="M46:V46"/>
    <mergeCell ref="M20:V20"/>
    <mergeCell ref="M21:V21"/>
    <mergeCell ref="M12:V19"/>
    <mergeCell ref="M9:V9"/>
    <mergeCell ref="M10:V10"/>
    <mergeCell ref="M11:V11"/>
    <mergeCell ref="M1:V1"/>
    <mergeCell ref="M5:V5"/>
    <mergeCell ref="M6:V6"/>
    <mergeCell ref="M7:V7"/>
    <mergeCell ref="M8:V8"/>
    <mergeCell ref="M2:V2"/>
    <mergeCell ref="M3:V3"/>
    <mergeCell ref="M4:V4"/>
    <mergeCell ref="B32:J32"/>
    <mergeCell ref="B22:J22"/>
    <mergeCell ref="B23:J23"/>
    <mergeCell ref="B26:J26"/>
    <mergeCell ref="B27:J27"/>
    <mergeCell ref="B28:J28"/>
    <mergeCell ref="B29:J29"/>
    <mergeCell ref="B30:J30"/>
    <mergeCell ref="B31:J31"/>
    <mergeCell ref="B24:J25"/>
    <mergeCell ref="B17:J17"/>
    <mergeCell ref="B18:J18"/>
    <mergeCell ref="B20:J20"/>
    <mergeCell ref="B3:J3"/>
    <mergeCell ref="B10:J11"/>
    <mergeCell ref="B12:J12"/>
    <mergeCell ref="B13:J13"/>
    <mergeCell ref="B14:J14"/>
    <mergeCell ref="B15:J15"/>
    <mergeCell ref="B16:J16"/>
    <mergeCell ref="B19:J19"/>
    <mergeCell ref="B2:J2"/>
    <mergeCell ref="B7:J7"/>
    <mergeCell ref="B4:J6"/>
    <mergeCell ref="B8:J8"/>
    <mergeCell ref="B9:J9"/>
    <mergeCell ref="C34:D34"/>
    <mergeCell ref="C35:D35"/>
    <mergeCell ref="C36:D36"/>
    <mergeCell ref="C37:D37"/>
    <mergeCell ref="C38:D38"/>
  </mergeCells>
  <hyperlinks>
    <hyperlink ref="M41"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workbookViewId="0">
      <selection activeCell="L29" sqref="L29"/>
    </sheetView>
  </sheetViews>
  <sheetFormatPr defaultRowHeight="15"/>
  <cols>
    <col min="1" max="1" width="10.85546875" customWidth="1"/>
    <col min="2" max="2" width="8.42578125" customWidth="1"/>
    <col min="3" max="3" width="9.5703125" customWidth="1"/>
    <col min="4" max="4" width="8.42578125" customWidth="1"/>
    <col min="5" max="5" width="11.5703125" customWidth="1"/>
    <col min="6" max="6" width="8.28515625" customWidth="1"/>
    <col min="9" max="9" width="6.42578125" customWidth="1"/>
    <col min="10" max="10" width="6.42578125" style="53" customWidth="1"/>
    <col min="11" max="11" width="6.28515625" style="49" customWidth="1"/>
    <col min="12" max="12" width="56" style="36" customWidth="1"/>
    <col min="13" max="13" width="61.42578125" customWidth="1"/>
    <col min="14" max="14" width="12.5703125" customWidth="1"/>
    <col min="15" max="15" width="19.85546875" bestFit="1" customWidth="1"/>
  </cols>
  <sheetData>
    <row r="1" spans="1:17" ht="53.25" customHeight="1">
      <c r="A1" s="38" t="s">
        <v>109</v>
      </c>
      <c r="B1" s="39" t="s">
        <v>1</v>
      </c>
      <c r="C1" s="40" t="s">
        <v>112</v>
      </c>
      <c r="D1" s="40" t="s">
        <v>111</v>
      </c>
      <c r="E1" s="40" t="s">
        <v>8</v>
      </c>
      <c r="F1" s="46" t="s">
        <v>113</v>
      </c>
      <c r="G1" s="41" t="s">
        <v>4</v>
      </c>
      <c r="H1" s="41" t="s">
        <v>7</v>
      </c>
      <c r="I1" s="42" t="s">
        <v>126</v>
      </c>
      <c r="J1" s="42" t="s">
        <v>144</v>
      </c>
      <c r="K1" s="42" t="s">
        <v>127</v>
      </c>
      <c r="L1" s="42" t="s">
        <v>21</v>
      </c>
      <c r="M1" s="56" t="s">
        <v>11</v>
      </c>
      <c r="N1" s="43" t="s">
        <v>187</v>
      </c>
      <c r="O1" t="s">
        <v>115</v>
      </c>
      <c r="P1">
        <f>SUM(B3:B30)</f>
        <v>73.75</v>
      </c>
    </row>
    <row r="2" spans="1:17" ht="16.5">
      <c r="B2" s="44"/>
      <c r="C2" s="52"/>
      <c r="D2" s="52"/>
      <c r="E2" s="52"/>
      <c r="F2" s="52"/>
      <c r="G2" s="44"/>
      <c r="H2" s="44"/>
      <c r="I2" s="44">
        <f>SUM(I3:I30)/60</f>
        <v>5.6166666666666663</v>
      </c>
      <c r="J2" s="44"/>
      <c r="K2" s="44">
        <f>SUM(K3:K30)/60</f>
        <v>0.5</v>
      </c>
      <c r="L2" s="44"/>
      <c r="M2" s="44"/>
      <c r="N2" s="36" t="s">
        <v>110</v>
      </c>
      <c r="O2" s="36" t="s">
        <v>116</v>
      </c>
      <c r="P2" s="36">
        <f>SUM(C3:E30)</f>
        <v>56.25</v>
      </c>
      <c r="Q2" s="36"/>
    </row>
    <row r="3" spans="1:17" ht="16.5">
      <c r="A3" s="45">
        <v>45689</v>
      </c>
      <c r="B3" s="44">
        <v>2.5</v>
      </c>
      <c r="C3" s="52">
        <v>1</v>
      </c>
      <c r="D3" s="52">
        <v>1.5</v>
      </c>
      <c r="E3" s="52">
        <v>0.5</v>
      </c>
      <c r="F3" s="52">
        <v>1</v>
      </c>
      <c r="G3" s="44">
        <v>2</v>
      </c>
      <c r="H3" s="44"/>
      <c r="I3" s="44"/>
      <c r="J3" s="44"/>
      <c r="K3" s="44"/>
      <c r="L3" s="44" t="s">
        <v>114</v>
      </c>
      <c r="M3" s="57" t="s">
        <v>181</v>
      </c>
      <c r="N3" s="70">
        <f>SUM(N4:N23)</f>
        <v>120.75</v>
      </c>
      <c r="O3" s="36" t="s">
        <v>117</v>
      </c>
      <c r="P3" s="36">
        <f>SUM(F3:H30)</f>
        <v>66.75</v>
      </c>
      <c r="Q3" s="36"/>
    </row>
    <row r="4" spans="1:17" ht="16.5">
      <c r="A4" s="45">
        <v>45690</v>
      </c>
      <c r="B4" s="44">
        <v>4.5</v>
      </c>
      <c r="C4" s="52">
        <v>0.5</v>
      </c>
      <c r="D4" s="52">
        <v>3</v>
      </c>
      <c r="E4" s="52">
        <v>1.5</v>
      </c>
      <c r="F4" s="52"/>
      <c r="G4" s="44">
        <v>1</v>
      </c>
      <c r="H4" s="44"/>
      <c r="I4" s="44"/>
      <c r="J4" s="44"/>
      <c r="K4" s="44"/>
      <c r="L4" s="44" t="s">
        <v>119</v>
      </c>
      <c r="M4" s="61" t="s">
        <v>27</v>
      </c>
      <c r="N4" s="71">
        <v>15</v>
      </c>
      <c r="O4" s="36"/>
      <c r="P4" s="36"/>
      <c r="Q4" s="36"/>
    </row>
    <row r="5" spans="1:17" ht="16.5">
      <c r="A5" s="45">
        <v>45691</v>
      </c>
      <c r="B5" s="44">
        <v>5</v>
      </c>
      <c r="C5" s="52"/>
      <c r="D5" s="52"/>
      <c r="E5" s="52"/>
      <c r="F5" s="52"/>
      <c r="G5" s="44">
        <v>0.5</v>
      </c>
      <c r="H5" s="44">
        <v>1</v>
      </c>
      <c r="I5" s="44"/>
      <c r="J5" s="44"/>
      <c r="K5" s="44"/>
      <c r="L5" s="44" t="s">
        <v>122</v>
      </c>
      <c r="M5" s="62" t="s">
        <v>166</v>
      </c>
      <c r="N5" s="71">
        <v>15</v>
      </c>
      <c r="O5" s="36"/>
      <c r="P5" s="36"/>
      <c r="Q5" s="36"/>
    </row>
    <row r="6" spans="1:17" ht="16.5">
      <c r="A6" s="45">
        <v>45692</v>
      </c>
      <c r="B6" s="44">
        <v>4</v>
      </c>
      <c r="C6" s="52">
        <v>0.5</v>
      </c>
      <c r="D6" s="52"/>
      <c r="E6" s="52"/>
      <c r="F6" s="52"/>
      <c r="G6" s="44"/>
      <c r="H6" s="44"/>
      <c r="I6" s="44"/>
      <c r="J6" s="44"/>
      <c r="K6" s="44"/>
      <c r="L6" s="44" t="s">
        <v>123</v>
      </c>
      <c r="M6" s="63" t="s">
        <v>2</v>
      </c>
      <c r="N6" s="71">
        <v>14.75</v>
      </c>
      <c r="O6" s="54" t="s">
        <v>129</v>
      </c>
      <c r="P6" s="54" t="s">
        <v>132</v>
      </c>
      <c r="Q6" s="36"/>
    </row>
    <row r="7" spans="1:17" ht="16.5">
      <c r="A7" s="45">
        <v>45693</v>
      </c>
      <c r="B7" s="44">
        <v>3</v>
      </c>
      <c r="C7" s="52">
        <v>2</v>
      </c>
      <c r="D7" s="52"/>
      <c r="E7" s="52"/>
      <c r="F7" s="52">
        <v>1.5</v>
      </c>
      <c r="G7" s="44"/>
      <c r="H7" s="44"/>
      <c r="I7" s="44">
        <v>40</v>
      </c>
      <c r="J7" s="44" t="s">
        <v>145</v>
      </c>
      <c r="K7" s="44"/>
      <c r="L7" s="44" t="s">
        <v>124</v>
      </c>
      <c r="M7" s="62" t="s">
        <v>183</v>
      </c>
      <c r="N7" s="71">
        <v>14.75</v>
      </c>
      <c r="O7" s="51" t="s">
        <v>131</v>
      </c>
      <c r="P7" t="s">
        <v>133</v>
      </c>
      <c r="Q7" s="36"/>
    </row>
    <row r="8" spans="1:17" ht="16.5">
      <c r="A8" s="45">
        <v>45694</v>
      </c>
      <c r="B8" s="44">
        <v>1.5</v>
      </c>
      <c r="C8" s="52"/>
      <c r="D8" s="52">
        <v>0.5</v>
      </c>
      <c r="E8" s="52"/>
      <c r="F8" s="52"/>
      <c r="G8" s="44">
        <v>1.5</v>
      </c>
      <c r="H8" s="44">
        <v>2.5</v>
      </c>
      <c r="I8" s="44" t="s">
        <v>128</v>
      </c>
      <c r="J8" s="44"/>
      <c r="K8" s="44" t="s">
        <v>128</v>
      </c>
      <c r="L8" s="50" t="s">
        <v>138</v>
      </c>
      <c r="M8" s="64" t="s">
        <v>165</v>
      </c>
      <c r="N8" s="71">
        <v>10.75</v>
      </c>
      <c r="O8" s="51" t="s">
        <v>155</v>
      </c>
      <c r="P8" t="s">
        <v>156</v>
      </c>
      <c r="Q8" s="36"/>
    </row>
    <row r="9" spans="1:17" ht="16.5">
      <c r="A9" s="45">
        <v>45695</v>
      </c>
      <c r="B9" s="44">
        <v>1</v>
      </c>
      <c r="C9" s="52"/>
      <c r="D9" s="52">
        <v>1</v>
      </c>
      <c r="E9" s="52">
        <v>1</v>
      </c>
      <c r="F9" s="52">
        <v>0.5</v>
      </c>
      <c r="G9" s="44"/>
      <c r="H9" s="44">
        <v>1.5</v>
      </c>
      <c r="I9" s="44">
        <v>40</v>
      </c>
      <c r="J9" s="44" t="s">
        <v>146</v>
      </c>
      <c r="K9" s="44">
        <v>30</v>
      </c>
      <c r="L9" s="44" t="s">
        <v>137</v>
      </c>
      <c r="M9" s="65" t="s">
        <v>161</v>
      </c>
      <c r="N9" s="71">
        <v>10</v>
      </c>
      <c r="O9" s="50" t="s">
        <v>157</v>
      </c>
      <c r="P9" s="50" t="s">
        <v>136</v>
      </c>
      <c r="Q9" s="36"/>
    </row>
    <row r="10" spans="1:17" ht="16.5">
      <c r="A10" s="45">
        <v>45696</v>
      </c>
      <c r="B10" s="44">
        <v>4.5</v>
      </c>
      <c r="C10" s="52">
        <v>1</v>
      </c>
      <c r="D10" s="52">
        <v>2</v>
      </c>
      <c r="E10" s="52">
        <v>1</v>
      </c>
      <c r="F10" s="52"/>
      <c r="G10" s="44">
        <v>2</v>
      </c>
      <c r="H10" s="44">
        <v>1</v>
      </c>
      <c r="I10" s="44">
        <v>20</v>
      </c>
      <c r="J10" s="44" t="s">
        <v>147</v>
      </c>
      <c r="K10" s="44"/>
      <c r="L10" s="44" t="s">
        <v>125</v>
      </c>
      <c r="M10" s="66" t="s">
        <v>25</v>
      </c>
      <c r="N10" s="71">
        <v>7.5</v>
      </c>
      <c r="Q10" s="36"/>
    </row>
    <row r="11" spans="1:17" ht="16.5">
      <c r="A11" s="45">
        <v>45697</v>
      </c>
      <c r="B11" s="44">
        <v>7</v>
      </c>
      <c r="C11" s="52">
        <v>1</v>
      </c>
      <c r="D11" s="52">
        <v>1</v>
      </c>
      <c r="E11" s="52"/>
      <c r="F11" s="52"/>
      <c r="G11" s="44">
        <v>1</v>
      </c>
      <c r="H11" s="44">
        <v>1</v>
      </c>
      <c r="I11" s="44">
        <v>50</v>
      </c>
      <c r="J11" s="44" t="s">
        <v>148</v>
      </c>
      <c r="K11" s="44"/>
      <c r="L11" s="44" t="s">
        <v>140</v>
      </c>
      <c r="M11" s="67" t="s">
        <v>179</v>
      </c>
      <c r="N11" s="71">
        <v>6.75</v>
      </c>
      <c r="O11" s="51" t="s">
        <v>158</v>
      </c>
      <c r="P11" t="s">
        <v>133</v>
      </c>
      <c r="Q11" s="36"/>
    </row>
    <row r="12" spans="1:17" ht="16.5">
      <c r="A12" s="45">
        <v>45698</v>
      </c>
      <c r="B12" s="44">
        <v>1</v>
      </c>
      <c r="C12" s="52">
        <v>0.25</v>
      </c>
      <c r="D12" s="52">
        <v>0.25</v>
      </c>
      <c r="E12" s="52"/>
      <c r="F12" s="52"/>
      <c r="G12" s="44">
        <v>0.5</v>
      </c>
      <c r="H12" s="44">
        <v>1</v>
      </c>
      <c r="I12" s="44">
        <v>0</v>
      </c>
      <c r="J12" s="44"/>
      <c r="K12" s="44">
        <v>0</v>
      </c>
      <c r="L12" s="44" t="s">
        <v>139</v>
      </c>
      <c r="M12" s="62" t="s">
        <v>153</v>
      </c>
      <c r="N12" s="71">
        <v>4.25</v>
      </c>
      <c r="O12" s="51" t="s">
        <v>135</v>
      </c>
      <c r="P12" t="s">
        <v>134</v>
      </c>
      <c r="Q12" s="36"/>
    </row>
    <row r="13" spans="1:17" ht="16.5">
      <c r="A13" s="45">
        <v>45699</v>
      </c>
      <c r="B13" s="44">
        <v>3</v>
      </c>
      <c r="C13" s="52"/>
      <c r="D13" s="52">
        <v>1</v>
      </c>
      <c r="E13" s="52">
        <v>1</v>
      </c>
      <c r="F13" s="52"/>
      <c r="G13" s="44">
        <v>0.5</v>
      </c>
      <c r="H13" s="44"/>
      <c r="I13" s="44">
        <v>60</v>
      </c>
      <c r="J13" s="44" t="s">
        <v>149</v>
      </c>
      <c r="K13" s="44"/>
      <c r="L13" s="44" t="s">
        <v>143</v>
      </c>
      <c r="M13" s="67" t="s">
        <v>142</v>
      </c>
      <c r="N13" s="71">
        <v>3.5</v>
      </c>
      <c r="O13" s="36"/>
      <c r="P13" s="36"/>
      <c r="Q13" s="36"/>
    </row>
    <row r="14" spans="1:17" ht="34.5" customHeight="1">
      <c r="A14" s="45">
        <v>45700</v>
      </c>
      <c r="B14" s="44">
        <v>2.5</v>
      </c>
      <c r="C14" s="52">
        <v>1</v>
      </c>
      <c r="D14" s="52">
        <v>0.5</v>
      </c>
      <c r="E14" s="52">
        <v>0.5</v>
      </c>
      <c r="F14" s="52"/>
      <c r="G14" s="44">
        <v>1.25</v>
      </c>
      <c r="H14" s="44">
        <v>1</v>
      </c>
      <c r="I14" s="44">
        <v>33</v>
      </c>
      <c r="J14" s="44" t="s">
        <v>150</v>
      </c>
      <c r="K14" s="44"/>
      <c r="L14" s="38" t="s">
        <v>151</v>
      </c>
      <c r="M14" s="62" t="s">
        <v>180</v>
      </c>
      <c r="N14" s="70">
        <v>5</v>
      </c>
      <c r="O14" s="36"/>
      <c r="P14" s="36"/>
      <c r="Q14" s="36"/>
    </row>
    <row r="15" spans="1:17" ht="16.5">
      <c r="A15" s="45">
        <v>45701</v>
      </c>
      <c r="B15" s="44">
        <v>3</v>
      </c>
      <c r="C15" s="52">
        <v>0.5</v>
      </c>
      <c r="D15" s="52"/>
      <c r="E15" s="52"/>
      <c r="F15" s="52"/>
      <c r="G15" s="44">
        <v>0.5</v>
      </c>
      <c r="H15" s="44">
        <v>0.5</v>
      </c>
      <c r="I15" s="44">
        <v>12</v>
      </c>
      <c r="J15" s="44" t="s">
        <v>189</v>
      </c>
      <c r="K15" s="44"/>
      <c r="L15" s="44" t="s">
        <v>154</v>
      </c>
      <c r="M15" s="62" t="s">
        <v>152</v>
      </c>
      <c r="N15" s="71">
        <v>2.5</v>
      </c>
      <c r="O15" s="36"/>
      <c r="P15" s="36"/>
      <c r="Q15" s="36"/>
    </row>
    <row r="16" spans="1:17" ht="16.5">
      <c r="A16" s="45">
        <v>45702</v>
      </c>
      <c r="B16" s="44">
        <v>3.5</v>
      </c>
      <c r="C16" s="52">
        <v>1</v>
      </c>
      <c r="D16" s="52"/>
      <c r="E16" s="52"/>
      <c r="F16" s="52"/>
      <c r="G16" s="44"/>
      <c r="H16" s="44"/>
      <c r="I16" s="44"/>
      <c r="J16" s="44"/>
      <c r="K16" s="44"/>
      <c r="L16" s="44" t="s">
        <v>159</v>
      </c>
      <c r="M16" s="62" t="s">
        <v>44</v>
      </c>
      <c r="N16" s="71">
        <v>2.75</v>
      </c>
      <c r="O16" s="36"/>
      <c r="P16" s="36"/>
      <c r="Q16" s="36"/>
    </row>
    <row r="17" spans="1:17" ht="16.5">
      <c r="A17" s="45">
        <v>45703</v>
      </c>
      <c r="B17" s="44">
        <v>1</v>
      </c>
      <c r="C17" s="52"/>
      <c r="D17" s="52">
        <v>1.5</v>
      </c>
      <c r="E17" s="52">
        <v>7</v>
      </c>
      <c r="F17" s="52">
        <v>2</v>
      </c>
      <c r="G17" s="44">
        <v>0.5</v>
      </c>
      <c r="H17" s="44">
        <v>0.5</v>
      </c>
      <c r="I17" s="44"/>
      <c r="J17" s="44"/>
      <c r="K17" s="44"/>
      <c r="L17" s="44" t="s">
        <v>162</v>
      </c>
      <c r="M17" s="62" t="s">
        <v>184</v>
      </c>
      <c r="N17" s="71">
        <v>2.75</v>
      </c>
      <c r="O17" s="36"/>
      <c r="P17" s="36"/>
      <c r="Q17" s="36"/>
    </row>
    <row r="18" spans="1:17" ht="16.5">
      <c r="A18" s="45">
        <v>45704</v>
      </c>
      <c r="B18" s="44">
        <v>0</v>
      </c>
      <c r="C18" s="52"/>
      <c r="D18" s="52"/>
      <c r="E18" s="52">
        <v>10</v>
      </c>
      <c r="F18" s="52"/>
      <c r="G18" s="44"/>
      <c r="H18" s="44"/>
      <c r="I18" s="44"/>
      <c r="J18" s="44"/>
      <c r="K18" s="44"/>
      <c r="L18" s="44" t="s">
        <v>160</v>
      </c>
      <c r="M18" s="62" t="s">
        <v>118</v>
      </c>
      <c r="N18" s="71">
        <v>2</v>
      </c>
      <c r="O18" s="36"/>
      <c r="P18" s="36"/>
      <c r="Q18" s="36"/>
    </row>
    <row r="19" spans="1:17" ht="16.5">
      <c r="A19" s="45">
        <v>45705</v>
      </c>
      <c r="B19" s="44">
        <v>3.5</v>
      </c>
      <c r="C19" s="52"/>
      <c r="D19" s="52"/>
      <c r="E19" s="52"/>
      <c r="F19" s="52">
        <v>1.5</v>
      </c>
      <c r="G19" s="44">
        <v>0.5</v>
      </c>
      <c r="H19" s="44">
        <v>1.5</v>
      </c>
      <c r="I19" s="44"/>
      <c r="J19" s="44"/>
      <c r="K19" s="44"/>
      <c r="L19" s="44" t="s">
        <v>163</v>
      </c>
      <c r="M19" s="68" t="s">
        <v>141</v>
      </c>
      <c r="N19" s="71">
        <v>1.5</v>
      </c>
      <c r="O19" s="35"/>
      <c r="P19" s="35"/>
      <c r="Q19" s="35"/>
    </row>
    <row r="20" spans="1:17" ht="16.5">
      <c r="A20" s="45">
        <v>45706</v>
      </c>
      <c r="B20" s="44">
        <v>1</v>
      </c>
      <c r="C20" s="52"/>
      <c r="D20" s="52"/>
      <c r="E20" s="52"/>
      <c r="F20" s="44">
        <v>0.5</v>
      </c>
      <c r="G20" s="44">
        <v>0.5</v>
      </c>
      <c r="H20" s="44"/>
      <c r="I20" s="44"/>
      <c r="J20" s="44"/>
      <c r="K20" s="44"/>
      <c r="L20" s="44"/>
      <c r="M20" s="62" t="s">
        <v>104</v>
      </c>
      <c r="N20" s="71">
        <v>1</v>
      </c>
      <c r="O20" s="35"/>
      <c r="P20" s="35"/>
      <c r="Q20" s="35"/>
    </row>
    <row r="21" spans="1:17" ht="16.5">
      <c r="A21" s="45">
        <v>45707</v>
      </c>
      <c r="B21" s="44">
        <v>0.5</v>
      </c>
      <c r="C21" s="52"/>
      <c r="D21" s="52"/>
      <c r="E21" s="52">
        <v>1</v>
      </c>
      <c r="F21" s="44"/>
      <c r="G21" s="44"/>
      <c r="H21" s="44">
        <v>1.5</v>
      </c>
      <c r="I21" s="44"/>
      <c r="J21" s="44"/>
      <c r="K21" s="44"/>
      <c r="L21" s="44" t="s">
        <v>164</v>
      </c>
      <c r="M21" s="62" t="s">
        <v>94</v>
      </c>
      <c r="N21" s="71">
        <v>0.5</v>
      </c>
      <c r="O21" s="37"/>
      <c r="P21" s="37"/>
      <c r="Q21" s="37"/>
    </row>
    <row r="22" spans="1:17" ht="16.5">
      <c r="A22" s="45">
        <v>45708</v>
      </c>
      <c r="B22" s="44">
        <v>4.75</v>
      </c>
      <c r="C22" s="52">
        <v>0.5</v>
      </c>
      <c r="D22" s="52">
        <v>1</v>
      </c>
      <c r="E22" s="52"/>
      <c r="F22" s="44">
        <v>1.5</v>
      </c>
      <c r="G22" s="44"/>
      <c r="H22" s="44">
        <v>1</v>
      </c>
      <c r="I22" s="44"/>
      <c r="J22" s="44" t="s">
        <v>66</v>
      </c>
      <c r="K22" s="44"/>
      <c r="L22" s="44" t="s">
        <v>167</v>
      </c>
      <c r="M22" s="69" t="s">
        <v>174</v>
      </c>
      <c r="N22" s="71">
        <v>0.5</v>
      </c>
      <c r="O22" s="37"/>
      <c r="P22" s="37"/>
      <c r="Q22" s="37"/>
    </row>
    <row r="23" spans="1:17" ht="33">
      <c r="A23" s="45">
        <v>45709</v>
      </c>
      <c r="B23" s="44">
        <v>4.5</v>
      </c>
      <c r="C23" s="52">
        <v>1.5</v>
      </c>
      <c r="D23" s="52">
        <v>0.5</v>
      </c>
      <c r="E23" s="52"/>
      <c r="F23" s="44"/>
      <c r="G23" s="44"/>
      <c r="H23" s="44"/>
      <c r="I23" s="44"/>
      <c r="J23" s="44"/>
      <c r="K23" s="44"/>
      <c r="L23" s="38" t="s">
        <v>172</v>
      </c>
      <c r="M23" s="60"/>
      <c r="N23" s="48"/>
      <c r="O23" s="37"/>
      <c r="P23" s="37"/>
      <c r="Q23" s="37"/>
    </row>
    <row r="24" spans="1:17" ht="16.5">
      <c r="A24" s="45">
        <v>45710</v>
      </c>
      <c r="B24" s="44"/>
      <c r="C24" s="52"/>
      <c r="D24" s="52"/>
      <c r="E24" s="52">
        <v>2</v>
      </c>
      <c r="F24" s="44">
        <v>0.5</v>
      </c>
      <c r="G24" s="44">
        <v>0.5</v>
      </c>
      <c r="H24" s="44">
        <v>1</v>
      </c>
      <c r="I24" s="44"/>
      <c r="J24" s="44"/>
      <c r="K24" s="44"/>
      <c r="L24" s="44" t="s">
        <v>175</v>
      </c>
      <c r="M24" s="59"/>
      <c r="N24" s="48"/>
    </row>
    <row r="25" spans="1:17" ht="16.5">
      <c r="A25" s="45">
        <v>45711</v>
      </c>
      <c r="B25" s="44">
        <v>0</v>
      </c>
      <c r="C25" s="52"/>
      <c r="D25" s="52"/>
      <c r="E25" s="52"/>
      <c r="F25" s="44"/>
      <c r="G25" s="44"/>
      <c r="H25" s="44">
        <v>10</v>
      </c>
      <c r="L25" s="44" t="s">
        <v>176</v>
      </c>
      <c r="M25" s="58"/>
      <c r="N25" s="48"/>
    </row>
    <row r="26" spans="1:17" ht="16.5">
      <c r="A26" s="45">
        <v>45712</v>
      </c>
      <c r="B26" s="44"/>
      <c r="C26" s="52"/>
      <c r="D26" s="52"/>
      <c r="E26" s="52"/>
      <c r="F26" s="44"/>
      <c r="G26" s="44"/>
      <c r="H26" s="44">
        <v>3</v>
      </c>
      <c r="I26" s="44"/>
      <c r="J26" s="44"/>
      <c r="K26" s="44"/>
      <c r="L26" s="44" t="s">
        <v>177</v>
      </c>
      <c r="M26" s="47"/>
      <c r="N26" s="48"/>
    </row>
    <row r="27" spans="1:17" ht="16.5">
      <c r="A27" s="45">
        <v>45713</v>
      </c>
      <c r="B27" s="44"/>
      <c r="C27" s="52">
        <v>2.5</v>
      </c>
      <c r="D27" s="52"/>
      <c r="E27" s="52"/>
      <c r="F27" s="44"/>
      <c r="G27" s="44">
        <v>1.5</v>
      </c>
      <c r="H27" s="44">
        <v>5</v>
      </c>
      <c r="I27" s="44"/>
      <c r="J27" s="44"/>
      <c r="K27" s="44"/>
      <c r="L27" s="44" t="s">
        <v>178</v>
      </c>
      <c r="M27" s="55"/>
      <c r="N27" s="48"/>
    </row>
    <row r="28" spans="1:17" ht="16.5">
      <c r="A28" s="45">
        <v>45714</v>
      </c>
      <c r="B28" s="44">
        <v>4</v>
      </c>
      <c r="C28" s="52"/>
      <c r="D28" s="52">
        <v>0.5</v>
      </c>
      <c r="E28" s="52">
        <v>0.75</v>
      </c>
      <c r="F28" s="44">
        <v>1.5</v>
      </c>
      <c r="G28" s="44">
        <v>2.75</v>
      </c>
      <c r="H28" s="44">
        <v>1</v>
      </c>
      <c r="I28" s="44">
        <v>44</v>
      </c>
      <c r="J28" s="44" t="s">
        <v>190</v>
      </c>
      <c r="K28" s="44"/>
      <c r="L28" s="44" t="s">
        <v>182</v>
      </c>
      <c r="M28" s="44" t="s">
        <v>169</v>
      </c>
    </row>
    <row r="29" spans="1:17" ht="16.5">
      <c r="A29" s="45">
        <v>45715</v>
      </c>
      <c r="B29" s="44">
        <v>7.5</v>
      </c>
      <c r="C29" s="52">
        <v>0.25</v>
      </c>
      <c r="D29" s="52">
        <v>1.25</v>
      </c>
      <c r="E29" s="52"/>
      <c r="F29" s="44"/>
      <c r="G29" s="44">
        <v>1.5</v>
      </c>
      <c r="H29" s="44">
        <v>0.25</v>
      </c>
      <c r="I29" s="44">
        <v>23</v>
      </c>
      <c r="J29" s="44" t="s">
        <v>191</v>
      </c>
      <c r="K29" s="44"/>
      <c r="L29" s="44" t="s">
        <v>188</v>
      </c>
      <c r="M29" s="44" t="s">
        <v>173</v>
      </c>
    </row>
    <row r="30" spans="1:17" ht="33">
      <c r="A30" s="45">
        <v>45716</v>
      </c>
      <c r="B30" s="44">
        <v>1</v>
      </c>
      <c r="C30" s="52"/>
      <c r="D30" s="52">
        <v>1</v>
      </c>
      <c r="E30" s="52"/>
      <c r="F30" s="44">
        <v>1.5</v>
      </c>
      <c r="G30" s="44"/>
      <c r="H30" s="44">
        <v>2</v>
      </c>
      <c r="I30" s="44">
        <v>15</v>
      </c>
      <c r="J30" s="44" t="s">
        <v>209</v>
      </c>
      <c r="K30" s="44"/>
      <c r="L30" s="38" t="s">
        <v>194</v>
      </c>
      <c r="M30" s="44" t="s">
        <v>171</v>
      </c>
    </row>
    <row r="31" spans="1:17" ht="16.5">
      <c r="A31" s="44"/>
      <c r="B31" s="44"/>
      <c r="C31" s="44"/>
      <c r="D31" s="44"/>
      <c r="E31" s="44"/>
      <c r="F31" s="44"/>
      <c r="G31" s="44"/>
      <c r="H31" s="44"/>
      <c r="I31" s="44"/>
      <c r="J31" s="44"/>
      <c r="K31" s="44"/>
      <c r="L31" s="44"/>
      <c r="M31" s="44" t="s">
        <v>170</v>
      </c>
    </row>
    <row r="32" spans="1:17" ht="16.5">
      <c r="A32" s="44" t="s">
        <v>120</v>
      </c>
      <c r="B32" s="44">
        <v>3</v>
      </c>
      <c r="C32" s="44"/>
      <c r="D32" s="44"/>
      <c r="E32" s="44"/>
      <c r="F32" s="44"/>
      <c r="G32" s="44"/>
      <c r="H32" s="44"/>
      <c r="I32" s="44"/>
      <c r="J32" s="44"/>
      <c r="K32" s="44"/>
      <c r="L32" s="44"/>
      <c r="M32" s="44"/>
    </row>
    <row r="33" spans="1:13" ht="16.5">
      <c r="A33" s="44"/>
      <c r="B33" s="44"/>
      <c r="C33" s="44"/>
      <c r="D33" s="44"/>
      <c r="E33" s="44"/>
      <c r="F33" s="44"/>
      <c r="G33" s="44"/>
      <c r="H33" s="44"/>
      <c r="I33" s="44"/>
      <c r="J33" s="44"/>
      <c r="K33" s="44"/>
      <c r="L33" s="44"/>
      <c r="M33" s="44"/>
    </row>
    <row r="34" spans="1:13" ht="16.5">
      <c r="A34" s="44"/>
      <c r="B34" s="44"/>
      <c r="C34" s="44"/>
      <c r="D34" s="44"/>
      <c r="E34" s="44"/>
      <c r="F34" s="44"/>
      <c r="G34" s="44"/>
      <c r="H34" s="44"/>
      <c r="I34" s="44"/>
      <c r="J34" s="44"/>
      <c r="K34" s="44"/>
      <c r="L34" s="44"/>
      <c r="M34" s="44"/>
    </row>
    <row r="51" spans="4:10">
      <c r="D51" t="s">
        <v>130</v>
      </c>
      <c r="H51">
        <v>1</v>
      </c>
    </row>
    <row r="52" spans="4:10" s="49" customFormat="1">
      <c r="J52" s="53"/>
    </row>
    <row r="53" spans="4:10">
      <c r="H53">
        <v>1</v>
      </c>
    </row>
    <row r="54" spans="4:10">
      <c r="H54">
        <v>2</v>
      </c>
    </row>
    <row r="55" spans="4:10">
      <c r="E55" s="51"/>
    </row>
    <row r="56" spans="4:10">
      <c r="E56" s="51"/>
    </row>
    <row r="58" spans="4:10">
      <c r="E58" s="51"/>
    </row>
  </sheetData>
  <sortState ref="M3:N27">
    <sortCondition descending="1" ref="N3:N27"/>
  </sortState>
  <conditionalFormatting sqref="C1:F1">
    <cfRule type="cellIs" priority="3" operator="lessThanOrEqual">
      <formula>$C$34</formula>
    </cfRule>
  </conditionalFormatting>
  <conditionalFormatting sqref="G1:L1">
    <cfRule type="cellIs" priority="4" operator="lessThanOrEqual">
      <formula>$C$34</formula>
    </cfRule>
  </conditionalFormatting>
  <conditionalFormatting sqref="B1">
    <cfRule type="cellIs" dxfId="94" priority="5" operator="greaterThanOrEqual">
      <formula>$C$34</formula>
    </cfRule>
  </conditionalFormatting>
  <conditionalFormatting sqref="B3:B30">
    <cfRule type="cellIs" dxfId="93" priority="1" operator="lessThan">
      <formula>$B$32</formula>
    </cfRule>
    <cfRule type="cellIs" dxfId="92" priority="2" operator="greaterThan">
      <formula>$B$32</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L27" sqref="L27"/>
    </sheetView>
  </sheetViews>
  <sheetFormatPr defaultColWidth="9.140625" defaultRowHeight="15"/>
  <cols>
    <col min="1" max="1" width="8.85546875" style="73" customWidth="1"/>
    <col min="2" max="3" width="8.42578125" style="73" customWidth="1"/>
    <col min="4" max="4" width="6" style="73" customWidth="1"/>
    <col min="5" max="5" width="10.42578125" style="73" customWidth="1"/>
    <col min="6" max="6" width="7.28515625" style="73" customWidth="1"/>
    <col min="7" max="8" width="9.140625" style="73"/>
    <col min="9" max="10" width="6.42578125" style="73" customWidth="1"/>
    <col min="11" max="11" width="6.28515625" style="73" customWidth="1"/>
    <col min="12" max="12" width="67.85546875" style="73" customWidth="1"/>
    <col min="13" max="13" width="61.42578125" style="73" customWidth="1"/>
    <col min="14" max="14" width="12.5703125" style="73" customWidth="1"/>
    <col min="15" max="15" width="19.85546875" style="73" bestFit="1" customWidth="1"/>
    <col min="16" max="16384" width="9.140625" style="73"/>
  </cols>
  <sheetData>
    <row r="1" spans="1:16" ht="53.25" customHeight="1">
      <c r="A1" s="38" t="s">
        <v>109</v>
      </c>
      <c r="B1" s="39" t="s">
        <v>1</v>
      </c>
      <c r="C1" s="76" t="s">
        <v>267</v>
      </c>
      <c r="D1" s="76" t="s">
        <v>111</v>
      </c>
      <c r="E1" s="76" t="s">
        <v>8</v>
      </c>
      <c r="F1" s="77" t="s">
        <v>113</v>
      </c>
      <c r="G1" s="78" t="s">
        <v>196</v>
      </c>
      <c r="H1" s="78" t="s">
        <v>7</v>
      </c>
      <c r="I1" s="42" t="s">
        <v>126</v>
      </c>
      <c r="J1" s="42" t="s">
        <v>144</v>
      </c>
      <c r="K1" s="42" t="s">
        <v>127</v>
      </c>
      <c r="L1" s="42" t="s">
        <v>200</v>
      </c>
      <c r="M1" s="56" t="s">
        <v>11</v>
      </c>
      <c r="N1" s="88" t="s">
        <v>213</v>
      </c>
      <c r="O1" s="89" t="s">
        <v>218</v>
      </c>
      <c r="P1" s="90">
        <f>SUM(B3:B33)</f>
        <v>53.5</v>
      </c>
    </row>
    <row r="2" spans="1:16" ht="16.5">
      <c r="B2" s="44"/>
      <c r="C2" s="52" t="s">
        <v>220</v>
      </c>
      <c r="D2" s="52"/>
      <c r="E2" s="52"/>
      <c r="F2" s="52"/>
      <c r="G2" s="44"/>
      <c r="H2" s="44"/>
      <c r="I2" s="44">
        <f>SUM(I3:I30)/60</f>
        <v>1</v>
      </c>
      <c r="J2" s="44"/>
      <c r="K2" s="44">
        <f>SUM(K3:K30)/60</f>
        <v>0</v>
      </c>
      <c r="L2" s="44"/>
      <c r="M2" s="44"/>
      <c r="N2" s="73" t="s">
        <v>110</v>
      </c>
      <c r="O2" s="91" t="s">
        <v>219</v>
      </c>
      <c r="P2" s="91">
        <f>SUM(P3:P4)</f>
        <v>102.25</v>
      </c>
    </row>
    <row r="3" spans="1:16" ht="16.5">
      <c r="A3" s="45">
        <v>45717</v>
      </c>
      <c r="B3" s="75">
        <v>0</v>
      </c>
      <c r="C3" s="86"/>
      <c r="D3" s="52"/>
      <c r="E3" s="52"/>
      <c r="F3" s="52"/>
      <c r="G3" s="82"/>
      <c r="H3" s="82">
        <v>10</v>
      </c>
      <c r="I3" s="44"/>
      <c r="J3" s="44"/>
      <c r="K3" s="44"/>
      <c r="L3" s="44" t="s">
        <v>193</v>
      </c>
      <c r="M3" s="57" t="s">
        <v>181</v>
      </c>
      <c r="N3" s="83" t="s">
        <v>26</v>
      </c>
      <c r="O3" s="92" t="s">
        <v>116</v>
      </c>
      <c r="P3" s="92">
        <f>SUM(C3:E33)</f>
        <v>37</v>
      </c>
    </row>
    <row r="4" spans="1:16" ht="36.75" customHeight="1">
      <c r="A4" s="45">
        <v>45718</v>
      </c>
      <c r="B4" s="75">
        <v>3</v>
      </c>
      <c r="C4" s="86">
        <v>2</v>
      </c>
      <c r="D4" s="52">
        <v>1</v>
      </c>
      <c r="E4" s="52"/>
      <c r="F4" s="52">
        <v>1.5</v>
      </c>
      <c r="G4" s="82">
        <v>4</v>
      </c>
      <c r="H4" s="82">
        <v>1.5</v>
      </c>
      <c r="I4" s="44"/>
      <c r="J4" s="44"/>
      <c r="K4" s="44"/>
      <c r="L4" s="42" t="s">
        <v>208</v>
      </c>
      <c r="M4" s="61" t="s">
        <v>27</v>
      </c>
      <c r="N4" s="79">
        <f>SUM(F3:F33)</f>
        <v>10</v>
      </c>
      <c r="O4" s="92" t="s">
        <v>117</v>
      </c>
      <c r="P4" s="92">
        <f>SUM(F3:H30)</f>
        <v>65.25</v>
      </c>
    </row>
    <row r="5" spans="1:16" ht="16.5">
      <c r="A5" s="45">
        <v>45719</v>
      </c>
      <c r="B5" s="75">
        <v>2.5</v>
      </c>
      <c r="C5" s="86">
        <v>0.25</v>
      </c>
      <c r="D5" s="52">
        <v>0.5</v>
      </c>
      <c r="E5" s="52"/>
      <c r="F5" s="52"/>
      <c r="G5" s="82"/>
      <c r="H5" s="82">
        <v>1</v>
      </c>
      <c r="I5" s="44"/>
      <c r="J5" s="44"/>
      <c r="K5" s="44"/>
      <c r="L5" s="44" t="s">
        <v>198</v>
      </c>
      <c r="M5" s="62" t="s">
        <v>192</v>
      </c>
      <c r="N5" s="80">
        <v>10</v>
      </c>
    </row>
    <row r="6" spans="1:16" ht="16.5">
      <c r="A6" s="45">
        <v>45720</v>
      </c>
      <c r="B6" s="75">
        <v>2.5</v>
      </c>
      <c r="C6" s="86"/>
      <c r="D6" s="52">
        <v>0.5</v>
      </c>
      <c r="E6" s="52">
        <v>2</v>
      </c>
      <c r="F6" s="52"/>
      <c r="G6" s="82"/>
      <c r="H6" s="82"/>
      <c r="I6" s="44"/>
      <c r="J6" s="44" t="s">
        <v>210</v>
      </c>
      <c r="K6" s="44"/>
      <c r="L6" s="84" t="s">
        <v>199</v>
      </c>
      <c r="M6" s="63" t="s">
        <v>2</v>
      </c>
      <c r="N6" s="80">
        <f>SUM(D3:D33)</f>
        <v>14</v>
      </c>
      <c r="O6" s="54" t="s">
        <v>129</v>
      </c>
      <c r="P6" s="54" t="s">
        <v>132</v>
      </c>
    </row>
    <row r="7" spans="1:16" ht="16.5">
      <c r="A7" s="45">
        <v>45721</v>
      </c>
      <c r="B7" s="75">
        <v>3</v>
      </c>
      <c r="C7" s="86"/>
      <c r="D7" s="52"/>
      <c r="E7" s="52"/>
      <c r="F7" s="52">
        <v>0.75</v>
      </c>
      <c r="G7" s="82">
        <v>0.25</v>
      </c>
      <c r="H7" s="82"/>
      <c r="I7" s="44"/>
      <c r="J7" s="44" t="s">
        <v>211</v>
      </c>
      <c r="K7" s="44"/>
      <c r="L7" s="44"/>
      <c r="M7" s="62" t="s">
        <v>183</v>
      </c>
      <c r="N7" s="80">
        <v>11.5</v>
      </c>
      <c r="O7" s="51" t="s">
        <v>223</v>
      </c>
      <c r="P7" s="73" t="s">
        <v>133</v>
      </c>
    </row>
    <row r="8" spans="1:16" ht="16.5">
      <c r="A8" s="45">
        <v>45722</v>
      </c>
      <c r="B8" s="75">
        <v>4.5</v>
      </c>
      <c r="C8" s="86">
        <v>0.5</v>
      </c>
      <c r="D8" s="52"/>
      <c r="E8" s="52"/>
      <c r="F8" s="52">
        <v>0.5</v>
      </c>
      <c r="G8" s="82">
        <v>1.5</v>
      </c>
      <c r="H8" s="82"/>
      <c r="I8" s="44">
        <v>30</v>
      </c>
      <c r="J8" s="44" t="s">
        <v>214</v>
      </c>
      <c r="K8" s="44"/>
      <c r="L8" s="50" t="s">
        <v>212</v>
      </c>
      <c r="M8" s="99" t="s">
        <v>256</v>
      </c>
      <c r="N8" s="80">
        <v>1</v>
      </c>
      <c r="O8" s="51" t="s">
        <v>155</v>
      </c>
      <c r="P8" s="73" t="s">
        <v>156</v>
      </c>
    </row>
    <row r="9" spans="1:16" ht="16.5">
      <c r="A9" s="45">
        <v>45723</v>
      </c>
      <c r="B9" s="75">
        <v>7.25</v>
      </c>
      <c r="C9" s="86"/>
      <c r="D9" s="52">
        <v>0.5</v>
      </c>
      <c r="E9" s="52"/>
      <c r="F9" s="52"/>
      <c r="G9" s="82"/>
      <c r="H9" s="82"/>
      <c r="I9" s="44"/>
      <c r="J9" s="44" t="s">
        <v>215</v>
      </c>
      <c r="K9" s="44"/>
      <c r="L9" s="44"/>
      <c r="M9" s="65" t="s">
        <v>161</v>
      </c>
      <c r="N9" s="80"/>
      <c r="O9" s="50" t="s">
        <v>157</v>
      </c>
      <c r="P9" s="50" t="s">
        <v>136</v>
      </c>
    </row>
    <row r="10" spans="1:16" ht="32.25">
      <c r="A10" s="45">
        <v>45724</v>
      </c>
      <c r="B10" s="75">
        <v>0</v>
      </c>
      <c r="C10" s="86">
        <v>3</v>
      </c>
      <c r="D10" s="52"/>
      <c r="E10" s="52"/>
      <c r="F10" s="52"/>
      <c r="G10" s="82">
        <v>2</v>
      </c>
      <c r="H10" s="82">
        <v>4</v>
      </c>
      <c r="I10" s="44"/>
      <c r="J10" s="44"/>
      <c r="K10" s="44"/>
      <c r="L10" s="44" t="s">
        <v>216</v>
      </c>
      <c r="M10" s="101" t="s">
        <v>268</v>
      </c>
      <c r="N10" s="80">
        <v>21.5</v>
      </c>
    </row>
    <row r="11" spans="1:16" ht="33">
      <c r="A11" s="45">
        <v>45725</v>
      </c>
      <c r="B11" s="75">
        <v>3.25</v>
      </c>
      <c r="C11" s="86">
        <v>1</v>
      </c>
      <c r="D11" s="52">
        <v>0.5</v>
      </c>
      <c r="E11" s="52"/>
      <c r="F11" s="52"/>
      <c r="G11" s="82">
        <v>0.5</v>
      </c>
      <c r="H11" s="82">
        <v>3.75</v>
      </c>
      <c r="I11" s="44">
        <v>30</v>
      </c>
      <c r="J11" s="44" t="s">
        <v>217</v>
      </c>
      <c r="K11" s="44"/>
      <c r="L11" s="38" t="s">
        <v>221</v>
      </c>
      <c r="M11" s="67" t="s">
        <v>197</v>
      </c>
      <c r="N11" s="80">
        <v>0.5</v>
      </c>
      <c r="O11" s="51" t="s">
        <v>224</v>
      </c>
      <c r="P11" s="73" t="s">
        <v>133</v>
      </c>
    </row>
    <row r="12" spans="1:16" ht="16.5">
      <c r="A12" s="45">
        <v>45726</v>
      </c>
      <c r="B12" s="75">
        <v>3</v>
      </c>
      <c r="C12" s="86">
        <v>0.25</v>
      </c>
      <c r="D12" s="52"/>
      <c r="E12" s="52"/>
      <c r="F12" s="52"/>
      <c r="G12" s="82">
        <v>1</v>
      </c>
      <c r="H12" s="82"/>
      <c r="J12" s="44" t="s">
        <v>227</v>
      </c>
      <c r="K12" s="44"/>
      <c r="L12" s="44" t="s">
        <v>228</v>
      </c>
      <c r="M12" s="62" t="s">
        <v>207</v>
      </c>
      <c r="N12" s="80">
        <v>9</v>
      </c>
      <c r="O12" s="51" t="s">
        <v>225</v>
      </c>
    </row>
    <row r="13" spans="1:16" ht="16.5">
      <c r="A13" s="45">
        <v>45727</v>
      </c>
      <c r="B13" s="75">
        <v>2.5</v>
      </c>
      <c r="C13" s="86">
        <v>0.5</v>
      </c>
      <c r="D13" s="52"/>
      <c r="E13" s="52">
        <v>0.5</v>
      </c>
      <c r="F13" s="52"/>
      <c r="G13" s="82">
        <v>1.5</v>
      </c>
      <c r="H13" s="82"/>
      <c r="I13" s="44"/>
      <c r="J13" s="44" t="s">
        <v>230</v>
      </c>
      <c r="K13" s="44"/>
      <c r="L13" s="44" t="s">
        <v>229</v>
      </c>
      <c r="M13" s="67" t="s">
        <v>49</v>
      </c>
      <c r="N13" s="80">
        <v>2</v>
      </c>
    </row>
    <row r="14" spans="1:16" ht="34.5" customHeight="1">
      <c r="A14" s="45">
        <v>45728</v>
      </c>
      <c r="B14" s="75">
        <v>2.25</v>
      </c>
      <c r="C14" s="86"/>
      <c r="D14" s="52"/>
      <c r="E14" s="52"/>
      <c r="F14" s="52">
        <v>1.5</v>
      </c>
      <c r="G14" s="82">
        <v>0.25</v>
      </c>
      <c r="H14" s="82">
        <v>1.25</v>
      </c>
      <c r="I14" s="44"/>
      <c r="J14" s="44"/>
      <c r="K14" s="44"/>
      <c r="L14" s="38" t="s">
        <v>231</v>
      </c>
      <c r="M14" s="62" t="s">
        <v>232</v>
      </c>
      <c r="N14" s="80">
        <v>2.75</v>
      </c>
      <c r="O14" s="93" t="s">
        <v>226</v>
      </c>
    </row>
    <row r="15" spans="1:16" ht="16.5">
      <c r="A15" s="45">
        <v>45729</v>
      </c>
      <c r="B15" s="75">
        <v>0</v>
      </c>
      <c r="C15" s="86"/>
      <c r="D15" s="52"/>
      <c r="E15" s="52"/>
      <c r="F15" s="52"/>
      <c r="G15" s="82"/>
      <c r="H15" s="82"/>
      <c r="I15" s="44"/>
      <c r="J15" s="44"/>
      <c r="K15" s="44"/>
      <c r="L15" s="96" t="s">
        <v>233</v>
      </c>
      <c r="M15" s="62" t="s">
        <v>248</v>
      </c>
      <c r="N15" s="80">
        <v>3</v>
      </c>
    </row>
    <row r="16" spans="1:16" ht="16.5">
      <c r="A16" s="45">
        <v>45730</v>
      </c>
      <c r="B16" s="75">
        <v>0</v>
      </c>
      <c r="C16" s="86"/>
      <c r="D16" s="52"/>
      <c r="E16" s="52"/>
      <c r="F16" s="52"/>
      <c r="G16" s="82"/>
      <c r="H16" s="82"/>
      <c r="I16" s="44"/>
      <c r="J16" s="44"/>
      <c r="K16" s="44"/>
      <c r="L16" s="95" t="s">
        <v>234</v>
      </c>
      <c r="M16" s="62"/>
      <c r="N16" s="80"/>
    </row>
    <row r="17" spans="1:17" ht="16.5">
      <c r="A17" s="45">
        <v>45731</v>
      </c>
      <c r="B17" s="75">
        <v>4</v>
      </c>
      <c r="C17" s="86"/>
      <c r="D17" s="52"/>
      <c r="E17" s="52"/>
      <c r="F17" s="52"/>
      <c r="G17" s="82"/>
      <c r="H17" s="82"/>
      <c r="I17" s="44"/>
      <c r="J17" s="44"/>
      <c r="K17" s="44"/>
      <c r="L17" s="94" t="s">
        <v>235</v>
      </c>
      <c r="M17" s="62" t="s">
        <v>222</v>
      </c>
      <c r="N17" s="80">
        <v>12.25</v>
      </c>
    </row>
    <row r="18" spans="1:17" ht="16.5">
      <c r="A18" s="45">
        <v>45732</v>
      </c>
      <c r="B18" s="75">
        <v>0</v>
      </c>
      <c r="C18" s="86"/>
      <c r="D18" s="52"/>
      <c r="E18" s="52"/>
      <c r="F18" s="52"/>
      <c r="G18" s="82"/>
      <c r="H18" s="82"/>
      <c r="I18" s="44"/>
      <c r="J18" s="44"/>
      <c r="K18" s="44"/>
      <c r="L18" s="95" t="s">
        <v>236</v>
      </c>
      <c r="M18" s="62" t="s">
        <v>118</v>
      </c>
      <c r="N18" s="80"/>
      <c r="O18" s="73" t="s">
        <v>239</v>
      </c>
    </row>
    <row r="19" spans="1:17" ht="16.5">
      <c r="A19" s="45">
        <v>45733</v>
      </c>
      <c r="B19" s="75">
        <v>0</v>
      </c>
      <c r="C19" s="86"/>
      <c r="D19" s="52"/>
      <c r="E19" s="52"/>
      <c r="F19" s="52"/>
      <c r="G19" s="82"/>
      <c r="H19" s="82"/>
      <c r="I19" s="44"/>
      <c r="J19" s="44"/>
      <c r="K19" s="44"/>
      <c r="L19" s="95" t="s">
        <v>237</v>
      </c>
      <c r="M19" s="68" t="s">
        <v>141</v>
      </c>
      <c r="N19" s="80">
        <v>1.5</v>
      </c>
      <c r="O19" s="98" t="s">
        <v>244</v>
      </c>
      <c r="P19" s="72"/>
      <c r="Q19" s="72"/>
    </row>
    <row r="20" spans="1:17" ht="16.5">
      <c r="A20" s="45">
        <v>45734</v>
      </c>
      <c r="B20" s="75">
        <v>1</v>
      </c>
      <c r="C20" s="86">
        <v>0.25</v>
      </c>
      <c r="D20" s="52">
        <v>0.5</v>
      </c>
      <c r="E20" s="52"/>
      <c r="F20" s="44">
        <v>1.5</v>
      </c>
      <c r="G20" s="82"/>
      <c r="H20" s="82">
        <v>1.5</v>
      </c>
      <c r="I20" s="44"/>
      <c r="J20" s="44"/>
      <c r="K20" s="44"/>
      <c r="L20" s="44" t="s">
        <v>238</v>
      </c>
      <c r="M20" s="62" t="s">
        <v>249</v>
      </c>
      <c r="N20" s="80">
        <v>4</v>
      </c>
      <c r="O20" s="98" t="s">
        <v>134</v>
      </c>
      <c r="P20" s="72"/>
      <c r="Q20" s="72"/>
    </row>
    <row r="21" spans="1:17" ht="16.5">
      <c r="A21" s="45">
        <v>45735</v>
      </c>
      <c r="B21" s="75">
        <v>2.25</v>
      </c>
      <c r="C21" s="86">
        <v>0.5</v>
      </c>
      <c r="D21" s="52"/>
      <c r="E21" s="52"/>
      <c r="F21" s="44">
        <v>1</v>
      </c>
      <c r="G21" s="82">
        <v>0.5</v>
      </c>
      <c r="H21" s="82"/>
      <c r="I21" s="44"/>
      <c r="J21" s="44"/>
      <c r="K21" s="44"/>
      <c r="L21" s="44" t="s">
        <v>245</v>
      </c>
      <c r="M21" s="62" t="s">
        <v>94</v>
      </c>
      <c r="N21" s="80"/>
      <c r="O21" s="98" t="s">
        <v>240</v>
      </c>
      <c r="P21" s="74"/>
      <c r="Q21" s="74"/>
    </row>
    <row r="22" spans="1:17" ht="16.5">
      <c r="A22" s="45">
        <v>45736</v>
      </c>
      <c r="B22" s="75">
        <v>0</v>
      </c>
      <c r="C22" s="86"/>
      <c r="D22" s="52"/>
      <c r="E22" s="52">
        <v>1</v>
      </c>
      <c r="F22" s="44">
        <v>1</v>
      </c>
      <c r="G22" s="82">
        <v>1.5</v>
      </c>
      <c r="H22" s="82">
        <v>0.5</v>
      </c>
      <c r="I22" s="44"/>
      <c r="J22" s="44"/>
      <c r="K22" s="44"/>
      <c r="L22" s="44" t="s">
        <v>246</v>
      </c>
      <c r="M22" s="69" t="s">
        <v>195</v>
      </c>
      <c r="N22" s="81">
        <v>2.25</v>
      </c>
      <c r="O22" s="97" t="s">
        <v>243</v>
      </c>
      <c r="P22" s="74"/>
      <c r="Q22" s="74"/>
    </row>
    <row r="23" spans="1:17" ht="16.5">
      <c r="A23" s="45">
        <v>45737</v>
      </c>
      <c r="B23" s="75">
        <v>0</v>
      </c>
      <c r="C23" s="86"/>
      <c r="D23" s="52"/>
      <c r="E23" s="52"/>
      <c r="F23" s="44"/>
      <c r="G23" s="82"/>
      <c r="H23" s="82"/>
      <c r="I23" s="44"/>
      <c r="J23" s="44"/>
      <c r="K23" s="44"/>
      <c r="L23" s="38" t="s">
        <v>247</v>
      </c>
      <c r="M23" s="99"/>
      <c r="N23" s="100"/>
      <c r="O23" s="97" t="s">
        <v>241</v>
      </c>
      <c r="P23" s="74"/>
      <c r="Q23" s="74"/>
    </row>
    <row r="24" spans="1:17" ht="16.5">
      <c r="A24" s="45">
        <v>45738</v>
      </c>
      <c r="B24" s="75">
        <v>2.5</v>
      </c>
      <c r="C24" s="86">
        <v>2.75</v>
      </c>
      <c r="D24" s="86">
        <v>3</v>
      </c>
      <c r="E24" s="52"/>
      <c r="F24" s="44">
        <v>0.5</v>
      </c>
      <c r="G24" s="82">
        <v>1.5</v>
      </c>
      <c r="H24" s="82">
        <v>0.5</v>
      </c>
      <c r="I24" s="44"/>
      <c r="J24" s="44"/>
      <c r="K24" s="44"/>
      <c r="L24" s="86" t="s">
        <v>253</v>
      </c>
      <c r="M24" s="59"/>
      <c r="N24" s="48"/>
      <c r="O24" s="97" t="s">
        <v>242</v>
      </c>
    </row>
    <row r="25" spans="1:17" ht="16.5">
      <c r="A25" s="45">
        <v>45739</v>
      </c>
      <c r="B25" s="75">
        <v>0</v>
      </c>
      <c r="C25" s="86">
        <v>0.75</v>
      </c>
      <c r="D25" s="86"/>
      <c r="E25" s="52"/>
      <c r="F25" s="44"/>
      <c r="G25" s="82">
        <v>2.5</v>
      </c>
      <c r="H25" s="82">
        <v>9</v>
      </c>
      <c r="L25" s="44" t="s">
        <v>250</v>
      </c>
      <c r="M25" s="58"/>
      <c r="N25" s="48"/>
    </row>
    <row r="26" spans="1:17" ht="16.5">
      <c r="A26" s="45">
        <v>45740</v>
      </c>
      <c r="B26" s="75">
        <v>0</v>
      </c>
      <c r="C26" s="86"/>
      <c r="D26" s="86">
        <v>2.5</v>
      </c>
      <c r="E26" s="52"/>
      <c r="F26" s="44"/>
      <c r="G26" s="82">
        <v>1</v>
      </c>
      <c r="H26" s="82">
        <v>1</v>
      </c>
      <c r="I26" s="44"/>
      <c r="J26" s="44"/>
      <c r="K26" s="44"/>
      <c r="L26" s="86" t="s">
        <v>252</v>
      </c>
      <c r="M26" s="47"/>
      <c r="N26" s="48"/>
    </row>
    <row r="27" spans="1:17" ht="16.5">
      <c r="A27" s="45">
        <v>45741</v>
      </c>
      <c r="B27" s="75">
        <v>0</v>
      </c>
      <c r="C27" s="86"/>
      <c r="D27" s="86">
        <v>2.5</v>
      </c>
      <c r="E27" s="52"/>
      <c r="F27" s="44"/>
      <c r="G27" s="82"/>
      <c r="H27" s="82"/>
      <c r="I27" s="44"/>
      <c r="J27" s="44"/>
      <c r="K27" s="44"/>
      <c r="L27" s="44" t="s">
        <v>251</v>
      </c>
      <c r="M27" s="55"/>
      <c r="N27" s="48"/>
    </row>
    <row r="28" spans="1:17" ht="16.5">
      <c r="A28" s="45">
        <v>45742</v>
      </c>
      <c r="B28" s="75">
        <v>3</v>
      </c>
      <c r="C28" s="86"/>
      <c r="D28" s="52"/>
      <c r="E28" s="52"/>
      <c r="F28" s="44"/>
      <c r="G28" s="82">
        <v>0.75</v>
      </c>
      <c r="H28" s="82">
        <v>1</v>
      </c>
      <c r="I28" s="44"/>
      <c r="J28" s="44"/>
      <c r="K28" s="44"/>
      <c r="L28" s="44"/>
      <c r="M28" s="44" t="s">
        <v>169</v>
      </c>
    </row>
    <row r="29" spans="1:17" ht="55.5" customHeight="1">
      <c r="A29" s="45">
        <v>45743</v>
      </c>
      <c r="B29" s="75">
        <v>0.75</v>
      </c>
      <c r="C29" s="86">
        <v>0.5</v>
      </c>
      <c r="D29" s="52"/>
      <c r="E29" s="52"/>
      <c r="F29" s="44"/>
      <c r="G29" s="82">
        <v>0.5</v>
      </c>
      <c r="H29" s="82">
        <v>0.5</v>
      </c>
      <c r="I29" s="44"/>
      <c r="J29" s="44"/>
      <c r="K29" s="44"/>
      <c r="L29" s="44" t="s">
        <v>255</v>
      </c>
      <c r="M29" s="398" t="s">
        <v>260</v>
      </c>
      <c r="N29" s="398"/>
      <c r="O29" s="398"/>
      <c r="P29" s="398"/>
      <c r="Q29" s="398"/>
    </row>
    <row r="30" spans="1:17" ht="53.25" customHeight="1">
      <c r="A30" s="45">
        <v>45744</v>
      </c>
      <c r="B30" s="75">
        <v>0</v>
      </c>
      <c r="C30" s="86">
        <v>0.25</v>
      </c>
      <c r="D30" s="44">
        <v>0.5</v>
      </c>
      <c r="E30" s="52"/>
      <c r="F30" s="44">
        <v>0.5</v>
      </c>
      <c r="G30" s="82">
        <v>1</v>
      </c>
      <c r="H30" s="82">
        <v>0.75</v>
      </c>
      <c r="I30" s="44"/>
      <c r="J30" s="44"/>
      <c r="K30" s="44"/>
      <c r="L30" s="50" t="s">
        <v>258</v>
      </c>
      <c r="M30" s="399" t="s">
        <v>254</v>
      </c>
      <c r="N30" s="399"/>
      <c r="O30" s="399"/>
      <c r="P30" s="399"/>
      <c r="Q30" s="399"/>
    </row>
    <row r="31" spans="1:17" ht="16.5">
      <c r="A31" s="45">
        <v>45745</v>
      </c>
      <c r="B31" s="75">
        <v>0</v>
      </c>
      <c r="C31" s="87">
        <v>5.75</v>
      </c>
      <c r="E31" s="44"/>
      <c r="F31" s="44">
        <v>0.5</v>
      </c>
      <c r="G31" s="82">
        <v>1.5</v>
      </c>
      <c r="H31" s="82">
        <v>3</v>
      </c>
      <c r="I31" s="44"/>
      <c r="J31" s="44"/>
      <c r="K31" s="44"/>
      <c r="L31" s="44" t="s">
        <v>266</v>
      </c>
      <c r="M31" s="400" t="s">
        <v>259</v>
      </c>
      <c r="N31" s="400"/>
      <c r="O31" s="400"/>
      <c r="P31" s="400"/>
      <c r="Q31" s="400"/>
    </row>
    <row r="32" spans="1:17" ht="16.5">
      <c r="A32" s="45">
        <v>45746</v>
      </c>
      <c r="B32" s="75">
        <v>1.5</v>
      </c>
      <c r="C32" s="87">
        <v>1.25</v>
      </c>
      <c r="D32" s="44"/>
      <c r="E32" s="44"/>
      <c r="F32" s="44">
        <v>0.75</v>
      </c>
      <c r="G32" s="82"/>
      <c r="H32" s="82">
        <v>0.25</v>
      </c>
      <c r="I32" s="44"/>
      <c r="J32" s="44"/>
      <c r="K32" s="44"/>
      <c r="L32" s="44" t="s">
        <v>262</v>
      </c>
      <c r="M32" s="401" t="s">
        <v>270</v>
      </c>
      <c r="N32" s="401"/>
      <c r="O32" s="401"/>
      <c r="P32" s="401"/>
      <c r="Q32" s="401"/>
    </row>
    <row r="33" spans="1:17" ht="16.5">
      <c r="A33" s="45">
        <v>45747</v>
      </c>
      <c r="B33" s="75">
        <v>4.75</v>
      </c>
      <c r="C33" s="87"/>
      <c r="D33" s="44">
        <v>2</v>
      </c>
      <c r="E33" s="44"/>
      <c r="F33" s="44"/>
      <c r="G33" s="82">
        <v>0.5</v>
      </c>
      <c r="H33" s="82"/>
      <c r="I33" s="44"/>
      <c r="J33" s="44"/>
      <c r="K33" s="44"/>
      <c r="L33" s="44" t="s">
        <v>271</v>
      </c>
      <c r="M33" s="400"/>
      <c r="N33" s="400"/>
      <c r="O33" s="400"/>
      <c r="P33" s="400"/>
      <c r="Q33" s="400"/>
    </row>
    <row r="34" spans="1:17" ht="16.5">
      <c r="A34" s="44"/>
      <c r="B34" s="44"/>
      <c r="C34" s="44"/>
      <c r="D34" s="44"/>
      <c r="E34" s="44"/>
      <c r="F34" s="44"/>
      <c r="G34" s="82"/>
      <c r="H34" s="82"/>
      <c r="I34" s="44"/>
      <c r="J34" s="44"/>
      <c r="K34" s="44"/>
      <c r="L34" s="44"/>
      <c r="M34" s="44"/>
    </row>
    <row r="35" spans="1:17">
      <c r="A35" s="73" t="s">
        <v>120</v>
      </c>
      <c r="B35" s="73">
        <v>4</v>
      </c>
    </row>
    <row r="55" spans="5:5">
      <c r="E55" s="51"/>
    </row>
    <row r="56" spans="5:5">
      <c r="E56" s="51"/>
    </row>
    <row r="58" spans="5:5">
      <c r="E58" s="51"/>
    </row>
  </sheetData>
  <mergeCells count="5">
    <mergeCell ref="M29:Q29"/>
    <mergeCell ref="M30:Q30"/>
    <mergeCell ref="M31:Q31"/>
    <mergeCell ref="M32:Q32"/>
    <mergeCell ref="M33:Q33"/>
  </mergeCells>
  <conditionalFormatting sqref="B3:B33">
    <cfRule type="cellIs" dxfId="87" priority="1" operator="lessThan">
      <formula>$B$35</formula>
    </cfRule>
    <cfRule type="cellIs" dxfId="86" priority="3" operator="equal">
      <formula>$B$35</formula>
    </cfRule>
    <cfRule type="cellIs" dxfId="85" priority="5" operator="greaterThan">
      <formula>$B$35</formula>
    </cfRule>
  </conditionalFormatting>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5" activePane="bottomLeft" state="frozen"/>
      <selection pane="bottomLeft" activeCell="G25" sqref="G25"/>
    </sheetView>
  </sheetViews>
  <sheetFormatPr defaultColWidth="9.140625" defaultRowHeight="15"/>
  <cols>
    <col min="1" max="1" width="8.85546875" style="103" customWidth="1"/>
    <col min="2" max="3" width="8.42578125" style="103" customWidth="1"/>
    <col min="4" max="4" width="8.85546875" style="103" customWidth="1"/>
    <col min="5" max="5" width="6.28515625" style="103" customWidth="1"/>
    <col min="6" max="6" width="7.28515625" style="103" customWidth="1"/>
    <col min="7" max="8" width="9.140625" style="103"/>
    <col min="9" max="9" width="6.42578125" style="103" customWidth="1"/>
    <col min="10" max="10" width="6.28515625" style="103" customWidth="1"/>
    <col min="11" max="11" width="6.28515625" style="121" customWidth="1"/>
    <col min="12" max="12" width="67.85546875" style="103" customWidth="1"/>
    <col min="13" max="13" width="61.42578125" style="103" customWidth="1"/>
    <col min="14" max="14" width="12.5703125" style="103" customWidth="1"/>
    <col min="15" max="15" width="19.85546875" style="103" bestFit="1" customWidth="1"/>
    <col min="16" max="16384" width="9.140625" style="103"/>
  </cols>
  <sheetData>
    <row r="1" spans="1:16" ht="53.25" customHeight="1">
      <c r="A1" s="38" t="s">
        <v>109</v>
      </c>
      <c r="B1" s="39" t="s">
        <v>1</v>
      </c>
      <c r="C1" s="76" t="s">
        <v>267</v>
      </c>
      <c r="D1" s="76" t="s">
        <v>111</v>
      </c>
      <c r="E1" s="125" t="s">
        <v>313</v>
      </c>
      <c r="F1" s="77" t="s">
        <v>113</v>
      </c>
      <c r="G1" s="78" t="s">
        <v>196</v>
      </c>
      <c r="H1" s="78" t="s">
        <v>7</v>
      </c>
      <c r="I1" s="42" t="s">
        <v>287</v>
      </c>
      <c r="J1" s="42" t="s">
        <v>314</v>
      </c>
      <c r="K1" s="42" t="s">
        <v>315</v>
      </c>
      <c r="L1" s="42" t="s">
        <v>200</v>
      </c>
      <c r="M1" s="56" t="s">
        <v>11</v>
      </c>
      <c r="N1" s="88" t="s">
        <v>213</v>
      </c>
      <c r="O1" s="89" t="s">
        <v>218</v>
      </c>
      <c r="P1" s="90">
        <f>SUM(B3:B33)</f>
        <v>24.25</v>
      </c>
    </row>
    <row r="2" spans="1:16" ht="16.5">
      <c r="B2" s="105"/>
      <c r="C2" s="52"/>
      <c r="D2" s="52"/>
      <c r="E2" s="52"/>
      <c r="F2" s="52"/>
      <c r="G2" s="105"/>
      <c r="H2" s="105"/>
      <c r="I2" s="105"/>
      <c r="J2" s="105">
        <f>SUM(J3:J30)/60</f>
        <v>1.5</v>
      </c>
      <c r="K2" s="122"/>
      <c r="L2" s="105"/>
      <c r="M2" s="105"/>
      <c r="N2" s="103" t="s">
        <v>110</v>
      </c>
      <c r="O2" s="91" t="s">
        <v>219</v>
      </c>
      <c r="P2" s="91">
        <f>SUM(P3:P4)</f>
        <v>120.45</v>
      </c>
    </row>
    <row r="3" spans="1:16" ht="16.5">
      <c r="A3" s="45">
        <v>45717</v>
      </c>
      <c r="B3" s="75">
        <v>0.5</v>
      </c>
      <c r="C3" s="86"/>
      <c r="D3" s="52"/>
      <c r="E3" s="52">
        <v>0.5</v>
      </c>
      <c r="F3" s="52"/>
      <c r="G3" s="82"/>
      <c r="H3" s="82">
        <v>0.25</v>
      </c>
      <c r="I3" s="105"/>
      <c r="J3" s="105"/>
      <c r="K3" s="122"/>
      <c r="L3" s="105" t="s">
        <v>283</v>
      </c>
      <c r="M3" s="57" t="s">
        <v>272</v>
      </c>
      <c r="N3" s="113" t="s">
        <v>277</v>
      </c>
      <c r="O3" s="92" t="s">
        <v>116</v>
      </c>
      <c r="P3" s="92">
        <f>SUM(C3:E33)</f>
        <v>21.7</v>
      </c>
    </row>
    <row r="4" spans="1:16" ht="36.75" customHeight="1">
      <c r="A4" s="45">
        <v>45718</v>
      </c>
      <c r="B4" s="75">
        <v>0</v>
      </c>
      <c r="C4" s="86"/>
      <c r="D4" s="52"/>
      <c r="E4" s="52"/>
      <c r="F4" s="52"/>
      <c r="G4" s="82"/>
      <c r="H4" s="82"/>
      <c r="I4" s="105">
        <v>3</v>
      </c>
      <c r="J4" s="105"/>
      <c r="K4" s="122"/>
      <c r="L4" s="109" t="s">
        <v>282</v>
      </c>
      <c r="M4" s="62"/>
      <c r="N4" s="114"/>
      <c r="O4" s="92" t="s">
        <v>117</v>
      </c>
      <c r="P4" s="92">
        <f>SUM(F3:I30)</f>
        <v>98.75</v>
      </c>
    </row>
    <row r="5" spans="1:16" ht="16.5">
      <c r="A5" s="45">
        <v>45719</v>
      </c>
      <c r="B5" s="75">
        <v>0</v>
      </c>
      <c r="C5" s="86"/>
      <c r="D5" s="52"/>
      <c r="E5" s="52"/>
      <c r="F5" s="52"/>
      <c r="G5" s="82"/>
      <c r="H5" s="82"/>
      <c r="I5" s="105">
        <v>3</v>
      </c>
      <c r="J5" s="105"/>
      <c r="K5" s="122"/>
      <c r="L5" s="109" t="s">
        <v>282</v>
      </c>
      <c r="M5" s="63"/>
      <c r="N5" s="114"/>
    </row>
    <row r="6" spans="1:16" ht="16.5">
      <c r="A6" s="45">
        <v>45720</v>
      </c>
      <c r="B6" s="75">
        <v>0</v>
      </c>
      <c r="C6" s="86"/>
      <c r="D6" s="52"/>
      <c r="E6" s="52"/>
      <c r="F6" s="52"/>
      <c r="G6" s="82"/>
      <c r="H6" s="82"/>
      <c r="I6" s="105"/>
      <c r="J6" s="105"/>
      <c r="K6" s="122"/>
      <c r="L6" s="109" t="s">
        <v>282</v>
      </c>
      <c r="M6" s="62" t="s">
        <v>309</v>
      </c>
      <c r="N6" s="114">
        <v>6.25</v>
      </c>
      <c r="O6" s="54" t="s">
        <v>129</v>
      </c>
      <c r="P6" s="54" t="s">
        <v>132</v>
      </c>
    </row>
    <row r="7" spans="1:16" ht="16.5">
      <c r="A7" s="45">
        <v>45721</v>
      </c>
      <c r="B7" s="75">
        <v>0</v>
      </c>
      <c r="C7" s="86">
        <v>3</v>
      </c>
      <c r="D7" s="52"/>
      <c r="E7" s="52"/>
      <c r="F7" s="52"/>
      <c r="G7" s="82"/>
      <c r="H7" s="82">
        <v>9</v>
      </c>
      <c r="I7" s="105"/>
      <c r="J7" s="105"/>
      <c r="K7" s="122"/>
      <c r="L7" s="110" t="s">
        <v>284</v>
      </c>
      <c r="M7" s="67" t="s">
        <v>286</v>
      </c>
      <c r="N7" s="114">
        <v>1.5</v>
      </c>
      <c r="O7" s="107" t="s">
        <v>273</v>
      </c>
      <c r="P7" s="108" t="s">
        <v>274</v>
      </c>
    </row>
    <row r="8" spans="1:16" ht="16.5">
      <c r="A8" s="45">
        <v>45722</v>
      </c>
      <c r="B8" s="75">
        <v>0</v>
      </c>
      <c r="C8" s="86"/>
      <c r="D8" s="52"/>
      <c r="E8" s="52"/>
      <c r="F8" s="52"/>
      <c r="G8" s="82">
        <v>1</v>
      </c>
      <c r="H8" s="82">
        <v>5.5</v>
      </c>
      <c r="I8" s="105"/>
      <c r="J8" s="105"/>
      <c r="K8" s="122"/>
      <c r="L8" s="50" t="s">
        <v>285</v>
      </c>
      <c r="M8" s="65" t="s">
        <v>325</v>
      </c>
      <c r="N8" s="114">
        <v>7.75</v>
      </c>
      <c r="O8" s="119" t="s">
        <v>278</v>
      </c>
      <c r="P8" s="119">
        <v>1</v>
      </c>
    </row>
    <row r="9" spans="1:16" ht="16.5">
      <c r="A9" s="45">
        <v>45723</v>
      </c>
      <c r="B9" s="75">
        <v>0</v>
      </c>
      <c r="C9" s="86"/>
      <c r="D9" s="52"/>
      <c r="E9" s="52"/>
      <c r="F9" s="52"/>
      <c r="G9" s="82">
        <v>0.5</v>
      </c>
      <c r="H9" s="82"/>
      <c r="I9" s="105">
        <v>3</v>
      </c>
      <c r="J9" s="105"/>
      <c r="K9" s="122"/>
      <c r="L9" s="110"/>
      <c r="M9" s="101" t="s">
        <v>321</v>
      </c>
      <c r="N9" s="114">
        <v>10</v>
      </c>
      <c r="O9" s="108" t="s">
        <v>275</v>
      </c>
      <c r="P9" s="108" t="s">
        <v>156</v>
      </c>
    </row>
    <row r="10" spans="1:16" ht="16.5">
      <c r="A10" s="45">
        <v>45724</v>
      </c>
      <c r="B10" s="75">
        <v>1.5</v>
      </c>
      <c r="C10" s="86">
        <v>0.5</v>
      </c>
      <c r="D10" s="52">
        <v>0.5</v>
      </c>
      <c r="E10" s="52"/>
      <c r="F10" s="52"/>
      <c r="G10" s="82">
        <v>1</v>
      </c>
      <c r="H10" s="82">
        <v>1.5</v>
      </c>
      <c r="I10" s="105"/>
      <c r="J10" s="105"/>
      <c r="K10" s="122"/>
      <c r="L10" s="110" t="s">
        <v>288</v>
      </c>
      <c r="M10" s="117" t="s">
        <v>295</v>
      </c>
      <c r="N10" s="114">
        <v>3.25</v>
      </c>
      <c r="O10" s="119" t="s">
        <v>276</v>
      </c>
      <c r="P10" s="119">
        <v>3.5</v>
      </c>
    </row>
    <row r="11" spans="1:16" ht="16.5">
      <c r="A11" s="45">
        <v>45725</v>
      </c>
      <c r="B11" s="75">
        <v>1</v>
      </c>
      <c r="C11" s="86"/>
      <c r="D11" s="52">
        <v>1</v>
      </c>
      <c r="E11" s="52"/>
      <c r="F11" s="52"/>
      <c r="G11" s="82">
        <v>1.5</v>
      </c>
      <c r="H11" s="82">
        <v>1.5</v>
      </c>
      <c r="I11" s="105"/>
      <c r="J11" s="105"/>
      <c r="K11" s="122"/>
      <c r="L11" s="111" t="s">
        <v>289</v>
      </c>
      <c r="M11" s="62"/>
      <c r="N11" s="114"/>
      <c r="O11" s="103" t="s">
        <v>279</v>
      </c>
    </row>
    <row r="12" spans="1:16" ht="16.5">
      <c r="A12" s="45">
        <v>45726</v>
      </c>
      <c r="B12" s="75">
        <v>1</v>
      </c>
      <c r="C12" s="86"/>
      <c r="D12" s="52"/>
      <c r="E12" s="52">
        <v>0.5</v>
      </c>
      <c r="F12" s="52">
        <v>1</v>
      </c>
      <c r="G12" s="82">
        <v>2</v>
      </c>
      <c r="H12" s="82">
        <v>1.5</v>
      </c>
      <c r="I12" s="105"/>
      <c r="J12" s="105"/>
      <c r="K12" s="122"/>
      <c r="L12" s="110" t="s">
        <v>290</v>
      </c>
      <c r="M12" s="67"/>
      <c r="N12" s="114"/>
      <c r="O12" s="120" t="s">
        <v>301</v>
      </c>
      <c r="P12" s="120" t="s">
        <v>79</v>
      </c>
    </row>
    <row r="13" spans="1:16" ht="16.5">
      <c r="A13" s="45">
        <v>45727</v>
      </c>
      <c r="B13" s="75">
        <v>0</v>
      </c>
      <c r="C13" s="86"/>
      <c r="D13" s="52"/>
      <c r="E13" s="52">
        <v>0.5</v>
      </c>
      <c r="F13" s="52"/>
      <c r="G13" s="82">
        <v>2</v>
      </c>
      <c r="H13" s="82"/>
      <c r="I13" s="105"/>
      <c r="J13" s="105"/>
      <c r="K13" s="122"/>
      <c r="L13" s="110"/>
      <c r="M13" s="62"/>
      <c r="N13" s="114"/>
      <c r="O13" s="120" t="s">
        <v>302</v>
      </c>
      <c r="P13" s="120" t="s">
        <v>303</v>
      </c>
    </row>
    <row r="14" spans="1:16" ht="18" customHeight="1">
      <c r="A14" s="45">
        <v>45728</v>
      </c>
      <c r="B14" s="75">
        <v>0</v>
      </c>
      <c r="C14" s="86">
        <v>3</v>
      </c>
      <c r="D14" s="52">
        <v>0.2</v>
      </c>
      <c r="E14" s="52"/>
      <c r="F14" s="52"/>
      <c r="G14" s="82"/>
      <c r="H14" s="82">
        <v>7</v>
      </c>
      <c r="I14" s="105"/>
      <c r="J14" s="105"/>
      <c r="K14" s="122"/>
      <c r="L14" s="111" t="s">
        <v>291</v>
      </c>
      <c r="M14" s="62"/>
      <c r="N14" s="114"/>
      <c r="O14" s="120" t="s">
        <v>304</v>
      </c>
      <c r="P14" s="120" t="s">
        <v>305</v>
      </c>
    </row>
    <row r="15" spans="1:16" ht="16.5">
      <c r="A15" s="45">
        <v>45729</v>
      </c>
      <c r="B15" s="75">
        <v>5.25</v>
      </c>
      <c r="C15" s="86">
        <v>0.5</v>
      </c>
      <c r="D15" s="52">
        <v>0.75</v>
      </c>
      <c r="E15" s="52">
        <v>0.75</v>
      </c>
      <c r="F15" s="52"/>
      <c r="G15" s="82"/>
      <c r="H15" s="82">
        <v>1.75</v>
      </c>
      <c r="I15" s="105"/>
      <c r="J15" s="105"/>
      <c r="K15" s="122"/>
      <c r="L15" s="110" t="s">
        <v>294</v>
      </c>
      <c r="M15" s="62" t="s">
        <v>293</v>
      </c>
      <c r="N15" s="114"/>
      <c r="O15" s="120" t="s">
        <v>306</v>
      </c>
      <c r="P15" s="120" t="s">
        <v>307</v>
      </c>
    </row>
    <row r="16" spans="1:16" ht="16.5">
      <c r="A16" s="45">
        <v>45730</v>
      </c>
      <c r="B16" s="75">
        <v>0</v>
      </c>
      <c r="C16" s="86"/>
      <c r="D16" s="52"/>
      <c r="E16" s="52"/>
      <c r="F16" s="52"/>
      <c r="G16" s="82"/>
      <c r="H16" s="82"/>
      <c r="I16" s="105">
        <v>3</v>
      </c>
      <c r="J16" s="105"/>
      <c r="K16" s="122"/>
      <c r="L16" s="112" t="s">
        <v>287</v>
      </c>
      <c r="M16" s="62"/>
      <c r="N16" s="114"/>
    </row>
    <row r="17" spans="1:17" ht="16.5">
      <c r="A17" s="45">
        <v>45731</v>
      </c>
      <c r="B17" s="75">
        <v>0</v>
      </c>
      <c r="C17" s="86"/>
      <c r="D17" s="52"/>
      <c r="E17" s="52"/>
      <c r="F17" s="52"/>
      <c r="G17" s="82"/>
      <c r="H17" s="82"/>
      <c r="I17" s="105">
        <v>3</v>
      </c>
      <c r="J17" s="105"/>
      <c r="K17" s="122"/>
      <c r="L17" s="112" t="s">
        <v>287</v>
      </c>
      <c r="M17" s="62" t="s">
        <v>300</v>
      </c>
      <c r="N17" s="114">
        <v>2</v>
      </c>
    </row>
    <row r="18" spans="1:17" ht="16.5">
      <c r="A18" s="45">
        <v>45732</v>
      </c>
      <c r="B18" s="75">
        <v>0</v>
      </c>
      <c r="C18" s="86"/>
      <c r="D18" s="52"/>
      <c r="E18" s="52"/>
      <c r="F18" s="52"/>
      <c r="G18" s="82"/>
      <c r="H18" s="82">
        <v>5</v>
      </c>
      <c r="I18" s="105"/>
      <c r="J18" s="105"/>
      <c r="K18" s="122"/>
      <c r="L18" s="112" t="s">
        <v>297</v>
      </c>
      <c r="M18" s="68" t="s">
        <v>299</v>
      </c>
      <c r="N18" s="114">
        <v>25</v>
      </c>
      <c r="O18" s="103" t="s">
        <v>239</v>
      </c>
    </row>
    <row r="19" spans="1:17" ht="16.5">
      <c r="A19" s="45">
        <v>45733</v>
      </c>
      <c r="B19" s="75">
        <v>0</v>
      </c>
      <c r="C19" s="86"/>
      <c r="D19" s="52"/>
      <c r="E19" s="52"/>
      <c r="F19" s="52"/>
      <c r="G19" s="82"/>
      <c r="H19" s="82">
        <v>5</v>
      </c>
      <c r="I19" s="105"/>
      <c r="J19" s="105"/>
      <c r="K19" s="122"/>
      <c r="L19" s="112" t="s">
        <v>298</v>
      </c>
      <c r="M19" s="62" t="s">
        <v>318</v>
      </c>
      <c r="N19" s="114">
        <v>6</v>
      </c>
      <c r="O19" s="102" t="s">
        <v>244</v>
      </c>
      <c r="P19" s="102"/>
      <c r="Q19" s="102"/>
    </row>
    <row r="20" spans="1:17" ht="16.5">
      <c r="A20" s="45">
        <v>45734</v>
      </c>
      <c r="B20" s="75">
        <v>0</v>
      </c>
      <c r="C20" s="86"/>
      <c r="D20" s="52"/>
      <c r="E20" s="52"/>
      <c r="F20" s="105"/>
      <c r="G20" s="82"/>
      <c r="H20" s="82">
        <v>5</v>
      </c>
      <c r="I20" s="118"/>
      <c r="J20" s="118"/>
      <c r="K20" s="122"/>
      <c r="L20" s="112" t="s">
        <v>298</v>
      </c>
      <c r="M20" s="62" t="s">
        <v>281</v>
      </c>
      <c r="N20" s="114">
        <v>9</v>
      </c>
      <c r="O20" s="102" t="s">
        <v>134</v>
      </c>
      <c r="P20" s="102"/>
      <c r="Q20" s="102"/>
    </row>
    <row r="21" spans="1:17" ht="16.5">
      <c r="A21" s="45">
        <v>45735</v>
      </c>
      <c r="B21" s="75">
        <v>0</v>
      </c>
      <c r="C21" s="86"/>
      <c r="D21" s="52"/>
      <c r="E21" s="52"/>
      <c r="F21" s="105"/>
      <c r="G21" s="82"/>
      <c r="H21" s="82">
        <v>5</v>
      </c>
      <c r="I21" s="118"/>
      <c r="J21" s="118"/>
      <c r="K21" s="122"/>
      <c r="L21" s="112" t="s">
        <v>298</v>
      </c>
      <c r="M21" s="69" t="s">
        <v>280</v>
      </c>
      <c r="N21" s="115">
        <v>0.75</v>
      </c>
      <c r="O21" s="102" t="s">
        <v>240</v>
      </c>
      <c r="P21" s="104"/>
      <c r="Q21" s="104"/>
    </row>
    <row r="22" spans="1:17" ht="16.5">
      <c r="A22" s="45">
        <v>45736</v>
      </c>
      <c r="B22" s="75">
        <v>0</v>
      </c>
      <c r="C22" s="86"/>
      <c r="D22" s="52"/>
      <c r="E22" s="52"/>
      <c r="F22" s="105"/>
      <c r="G22" s="82"/>
      <c r="H22" s="82">
        <v>5</v>
      </c>
      <c r="I22" s="118"/>
      <c r="J22" s="118"/>
      <c r="K22" s="122"/>
      <c r="L22" s="112" t="s">
        <v>298</v>
      </c>
      <c r="M22" s="99" t="s">
        <v>292</v>
      </c>
      <c r="N22" s="116">
        <v>6.25</v>
      </c>
      <c r="O22" s="104" t="s">
        <v>243</v>
      </c>
      <c r="P22" s="104"/>
      <c r="Q22" s="104"/>
    </row>
    <row r="23" spans="1:17" ht="16.5">
      <c r="A23" s="45">
        <v>45737</v>
      </c>
      <c r="B23" s="75">
        <v>0</v>
      </c>
      <c r="C23" s="86"/>
      <c r="D23" s="52"/>
      <c r="E23" s="52"/>
      <c r="F23" s="105">
        <v>3</v>
      </c>
      <c r="G23" s="82"/>
      <c r="H23" s="82"/>
      <c r="I23" s="105"/>
      <c r="J23" s="105"/>
      <c r="K23" s="122"/>
      <c r="L23" s="38" t="s">
        <v>296</v>
      </c>
      <c r="M23" s="123" t="s">
        <v>323</v>
      </c>
      <c r="N23" s="124">
        <v>5</v>
      </c>
      <c r="O23" s="104" t="s">
        <v>241</v>
      </c>
      <c r="P23" s="104"/>
      <c r="Q23" s="104"/>
    </row>
    <row r="24" spans="1:17" ht="16.5">
      <c r="A24" s="45">
        <v>45738</v>
      </c>
      <c r="B24" s="75">
        <v>0</v>
      </c>
      <c r="C24" s="86"/>
      <c r="D24" s="86"/>
      <c r="E24" s="52"/>
      <c r="F24" s="105"/>
      <c r="G24" s="82">
        <v>1</v>
      </c>
      <c r="H24" s="82"/>
      <c r="I24" s="105">
        <v>1.5</v>
      </c>
      <c r="J24" s="105"/>
      <c r="K24" s="122"/>
      <c r="L24" s="86"/>
      <c r="M24" s="58"/>
      <c r="N24" s="106"/>
      <c r="O24" s="104" t="s">
        <v>242</v>
      </c>
    </row>
    <row r="25" spans="1:17" ht="16.5">
      <c r="A25" s="45">
        <v>45739</v>
      </c>
      <c r="B25" s="75">
        <v>0</v>
      </c>
      <c r="C25" s="86">
        <v>0.5</v>
      </c>
      <c r="D25" s="86">
        <v>0.25</v>
      </c>
      <c r="E25" s="52">
        <v>1</v>
      </c>
      <c r="F25" s="105">
        <v>1</v>
      </c>
      <c r="G25" s="82">
        <v>0.25</v>
      </c>
      <c r="H25" s="82">
        <v>0.5</v>
      </c>
      <c r="I25" s="103">
        <v>2</v>
      </c>
      <c r="L25" s="105" t="s">
        <v>308</v>
      </c>
      <c r="M25" s="47"/>
      <c r="N25" s="106"/>
    </row>
    <row r="26" spans="1:17" ht="16.5">
      <c r="A26" s="45">
        <v>45740</v>
      </c>
      <c r="B26" s="75">
        <v>3</v>
      </c>
      <c r="C26" s="86">
        <v>0.5</v>
      </c>
      <c r="D26" s="86"/>
      <c r="E26" s="52"/>
      <c r="F26" s="105"/>
      <c r="G26" s="82">
        <v>0.5</v>
      </c>
      <c r="H26" s="82">
        <v>1</v>
      </c>
      <c r="I26" s="105">
        <v>0.5</v>
      </c>
      <c r="J26" s="105">
        <v>30</v>
      </c>
      <c r="K26" s="122"/>
      <c r="L26" s="112" t="s">
        <v>310</v>
      </c>
      <c r="M26" s="55"/>
      <c r="N26" s="48"/>
    </row>
    <row r="27" spans="1:17" ht="33">
      <c r="A27" s="45">
        <v>45741</v>
      </c>
      <c r="B27" s="75">
        <v>3</v>
      </c>
      <c r="C27" s="86"/>
      <c r="D27" s="86"/>
      <c r="E27" s="52"/>
      <c r="F27" s="105"/>
      <c r="G27" s="82"/>
      <c r="H27" s="82"/>
      <c r="I27" s="105">
        <v>1.5</v>
      </c>
      <c r="J27" s="105">
        <v>10</v>
      </c>
      <c r="K27" s="122">
        <v>0</v>
      </c>
      <c r="L27" s="38" t="s">
        <v>316</v>
      </c>
      <c r="M27" s="105" t="s">
        <v>311</v>
      </c>
    </row>
    <row r="28" spans="1:17" ht="42" customHeight="1">
      <c r="A28" s="45">
        <v>45742</v>
      </c>
      <c r="B28" s="75">
        <v>1.5</v>
      </c>
      <c r="C28" s="86">
        <v>2.5</v>
      </c>
      <c r="D28" s="52">
        <v>1</v>
      </c>
      <c r="E28" s="52"/>
      <c r="F28" s="105"/>
      <c r="G28" s="82">
        <v>1.5</v>
      </c>
      <c r="H28" s="82">
        <v>1</v>
      </c>
      <c r="I28" s="105">
        <v>1</v>
      </c>
      <c r="J28" s="105"/>
      <c r="K28" s="122"/>
      <c r="L28" s="105"/>
      <c r="M28" s="402" t="s">
        <v>317</v>
      </c>
      <c r="N28" s="402"/>
      <c r="O28" s="402"/>
      <c r="P28" s="402"/>
      <c r="Q28" s="402"/>
    </row>
    <row r="29" spans="1:17" ht="27" customHeight="1">
      <c r="A29" s="45">
        <v>45743</v>
      </c>
      <c r="B29" s="75">
        <v>2.5</v>
      </c>
      <c r="C29" s="86"/>
      <c r="D29" s="52">
        <v>1.5</v>
      </c>
      <c r="E29" s="52">
        <v>1</v>
      </c>
      <c r="F29" s="105">
        <v>1</v>
      </c>
      <c r="G29" s="82">
        <v>1.5</v>
      </c>
      <c r="H29" s="82"/>
      <c r="I29" s="105"/>
      <c r="J29" s="105">
        <v>50</v>
      </c>
      <c r="K29" s="122"/>
      <c r="L29" s="105" t="s">
        <v>319</v>
      </c>
      <c r="M29" s="403" t="s">
        <v>312</v>
      </c>
      <c r="N29" s="404"/>
      <c r="O29" s="404"/>
      <c r="P29" s="404"/>
      <c r="Q29" s="404"/>
    </row>
    <row r="30" spans="1:17" ht="31.5" customHeight="1">
      <c r="A30" s="45">
        <v>45744</v>
      </c>
      <c r="B30" s="75">
        <v>0</v>
      </c>
      <c r="C30" s="86">
        <v>1</v>
      </c>
      <c r="D30" s="105"/>
      <c r="E30" s="52">
        <v>0.25</v>
      </c>
      <c r="F30" s="105">
        <v>1.5</v>
      </c>
      <c r="G30" s="82"/>
      <c r="H30" s="82">
        <v>1.5</v>
      </c>
      <c r="I30" s="105"/>
      <c r="J30" s="105"/>
      <c r="K30" s="122"/>
      <c r="L30" s="50" t="s">
        <v>322</v>
      </c>
      <c r="M30" s="121" t="s">
        <v>320</v>
      </c>
      <c r="N30" s="121"/>
      <c r="O30" s="121"/>
      <c r="P30" s="121"/>
      <c r="Q30" s="121"/>
    </row>
    <row r="31" spans="1:17" ht="16.5">
      <c r="A31" s="45">
        <v>45745</v>
      </c>
      <c r="B31" s="75">
        <v>2.5</v>
      </c>
      <c r="C31" s="87"/>
      <c r="E31" s="105"/>
      <c r="F31" s="105">
        <v>1</v>
      </c>
      <c r="G31" s="82">
        <v>0.5</v>
      </c>
      <c r="H31" s="82">
        <v>1</v>
      </c>
      <c r="I31" s="105"/>
      <c r="J31" s="105"/>
      <c r="K31" s="122"/>
      <c r="L31" s="105" t="s">
        <v>324</v>
      </c>
      <c r="M31" s="121"/>
      <c r="N31" s="121"/>
      <c r="O31" s="121"/>
      <c r="P31" s="121"/>
      <c r="Q31" s="121"/>
    </row>
    <row r="32" spans="1:17" ht="16.5">
      <c r="A32" s="45">
        <v>45746</v>
      </c>
      <c r="B32" s="75">
        <v>2.5</v>
      </c>
      <c r="C32" s="87">
        <v>0.5</v>
      </c>
      <c r="D32" s="105"/>
      <c r="E32" s="105"/>
      <c r="F32" s="105"/>
      <c r="G32" s="82">
        <v>0.75</v>
      </c>
      <c r="H32" s="82">
        <v>0.25</v>
      </c>
      <c r="I32" s="105">
        <v>1</v>
      </c>
      <c r="J32" s="105"/>
      <c r="K32" s="122"/>
      <c r="L32" s="105" t="s">
        <v>326</v>
      </c>
      <c r="M32" s="121"/>
      <c r="N32" s="121"/>
      <c r="O32" s="121"/>
      <c r="P32" s="121"/>
      <c r="Q32" s="121"/>
    </row>
    <row r="33" spans="1:17" ht="16.5">
      <c r="A33" s="45">
        <v>45747</v>
      </c>
      <c r="B33" s="75"/>
      <c r="C33" s="87"/>
      <c r="D33" s="105"/>
      <c r="E33" s="105"/>
      <c r="F33" s="105"/>
      <c r="G33" s="82"/>
      <c r="H33" s="82"/>
      <c r="I33" s="105"/>
      <c r="J33" s="105"/>
      <c r="K33" s="122"/>
      <c r="L33" s="105"/>
      <c r="M33" s="105"/>
      <c r="O33" s="105"/>
      <c r="P33" s="105"/>
      <c r="Q33" s="105"/>
    </row>
    <row r="34" spans="1:17" ht="16.5">
      <c r="A34" s="105"/>
      <c r="B34" s="105"/>
      <c r="C34" s="105"/>
      <c r="D34" s="105"/>
      <c r="E34" s="105"/>
      <c r="F34" s="105"/>
      <c r="G34" s="82"/>
      <c r="H34" s="82"/>
      <c r="I34" s="105"/>
      <c r="J34" s="105"/>
      <c r="K34" s="122"/>
      <c r="L34" s="105"/>
    </row>
    <row r="35" spans="1:17">
      <c r="A35" s="103" t="s">
        <v>120</v>
      </c>
      <c r="B35" s="103">
        <v>3.5</v>
      </c>
    </row>
    <row r="55" spans="5:5">
      <c r="E55" s="51"/>
    </row>
    <row r="56" spans="5:5">
      <c r="E56" s="51"/>
    </row>
    <row r="58" spans="5:5">
      <c r="E58" s="51"/>
    </row>
  </sheetData>
  <mergeCells count="2">
    <mergeCell ref="M28:Q28"/>
    <mergeCell ref="M29:Q29"/>
  </mergeCells>
  <conditionalFormatting sqref="B3:B33">
    <cfRule type="cellIs" dxfId="79" priority="1" operator="lessThan">
      <formula>$B$35</formula>
    </cfRule>
    <cfRule type="cellIs" dxfId="78" priority="2" operator="equal">
      <formula>$B$35</formula>
    </cfRule>
    <cfRule type="cellIs" dxfId="77" priority="3" operator="greaterThan">
      <formula>$B$35</formula>
    </cfRule>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G20" sqref="G20"/>
    </sheetView>
  </sheetViews>
  <sheetFormatPr defaultColWidth="9.140625" defaultRowHeight="15"/>
  <cols>
    <col min="1" max="1" width="8.85546875" style="127" customWidth="1"/>
    <col min="2" max="2" width="6.28515625" style="127" customWidth="1"/>
    <col min="3" max="3" width="8.42578125" style="127" customWidth="1"/>
    <col min="4" max="4" width="6.42578125" style="127" customWidth="1"/>
    <col min="5" max="5" width="6.28515625" style="127" customWidth="1"/>
    <col min="6" max="7" width="7.28515625" style="127" customWidth="1"/>
    <col min="8" max="8" width="9.140625" style="127"/>
    <col min="9" max="9" width="6.42578125" style="127" customWidth="1"/>
    <col min="10" max="11" width="6.28515625" style="127" customWidth="1"/>
    <col min="12" max="12" width="77.5703125" style="127" customWidth="1"/>
    <col min="13" max="13" width="61.42578125" style="127" customWidth="1"/>
    <col min="14" max="14" width="12.5703125" style="127" customWidth="1"/>
    <col min="15" max="15" width="19.85546875" style="127" bestFit="1" customWidth="1"/>
    <col min="16" max="16384" width="9.140625" style="127"/>
  </cols>
  <sheetData>
    <row r="1" spans="1:16" ht="58.5" customHeight="1">
      <c r="A1" s="38" t="s">
        <v>109</v>
      </c>
      <c r="B1" s="39" t="s">
        <v>1</v>
      </c>
      <c r="C1" s="76" t="s">
        <v>328</v>
      </c>
      <c r="D1" s="76" t="s">
        <v>344</v>
      </c>
      <c r="E1" s="125" t="s">
        <v>313</v>
      </c>
      <c r="F1" s="77" t="s">
        <v>330</v>
      </c>
      <c r="G1" s="78" t="s">
        <v>359</v>
      </c>
      <c r="H1" s="78" t="s">
        <v>7</v>
      </c>
      <c r="I1" s="42" t="s">
        <v>331</v>
      </c>
      <c r="J1" s="135" t="s">
        <v>314</v>
      </c>
      <c r="K1" s="135" t="s">
        <v>315</v>
      </c>
      <c r="L1" s="130" t="s">
        <v>327</v>
      </c>
      <c r="M1" s="56" t="s">
        <v>11</v>
      </c>
      <c r="N1" s="88"/>
      <c r="O1" s="89" t="s">
        <v>218</v>
      </c>
      <c r="P1" s="90">
        <f>SUM(B3:B33)</f>
        <v>57.35</v>
      </c>
    </row>
    <row r="2" spans="1:16" ht="16.5">
      <c r="B2" s="129"/>
      <c r="C2" s="52">
        <f t="shared" ref="C2:H2" si="0">SUM(C3:C33)</f>
        <v>23.9</v>
      </c>
      <c r="D2" s="52">
        <f t="shared" si="0"/>
        <v>12.75</v>
      </c>
      <c r="E2" s="52">
        <f t="shared" si="0"/>
        <v>21.25</v>
      </c>
      <c r="F2" s="52">
        <f>SUM(F3:F32)</f>
        <v>15</v>
      </c>
      <c r="G2" s="129">
        <f t="shared" si="0"/>
        <v>22.15</v>
      </c>
      <c r="H2" s="129">
        <f t="shared" si="0"/>
        <v>49.55</v>
      </c>
      <c r="I2" s="129"/>
      <c r="J2" s="136">
        <f>SUM(J3:J34)/60</f>
        <v>3.05</v>
      </c>
      <c r="K2" s="136"/>
      <c r="L2" s="129"/>
      <c r="M2" s="129"/>
      <c r="N2" s="127" t="s">
        <v>110</v>
      </c>
      <c r="O2" s="91" t="s">
        <v>219</v>
      </c>
      <c r="P2" s="91">
        <f>SUM(P3:P4)</f>
        <v>163.35</v>
      </c>
    </row>
    <row r="3" spans="1:16" ht="16.5">
      <c r="A3" s="140">
        <v>45778</v>
      </c>
      <c r="B3" s="75">
        <v>0</v>
      </c>
      <c r="C3" s="86">
        <v>1</v>
      </c>
      <c r="D3" s="52">
        <v>1</v>
      </c>
      <c r="E3" s="52"/>
      <c r="F3" s="52">
        <v>1.5</v>
      </c>
      <c r="H3" s="82">
        <v>3</v>
      </c>
      <c r="I3" s="82">
        <v>1.5</v>
      </c>
      <c r="J3" s="136"/>
      <c r="K3" s="136"/>
      <c r="L3" s="137" t="s">
        <v>332</v>
      </c>
      <c r="M3" s="57" t="s">
        <v>272</v>
      </c>
      <c r="N3" s="131" t="s">
        <v>277</v>
      </c>
      <c r="O3" s="92" t="s">
        <v>116</v>
      </c>
      <c r="P3" s="92">
        <f>SUM(C3:E33)</f>
        <v>57.9</v>
      </c>
    </row>
    <row r="4" spans="1:16" ht="28.5" customHeight="1">
      <c r="A4" s="140">
        <v>45779</v>
      </c>
      <c r="B4" s="75">
        <v>2</v>
      </c>
      <c r="C4" s="86">
        <v>0.5</v>
      </c>
      <c r="D4" s="52"/>
      <c r="E4" s="52">
        <v>2</v>
      </c>
      <c r="F4" s="52"/>
      <c r="G4" s="82">
        <v>1.5</v>
      </c>
      <c r="H4" s="82">
        <v>1</v>
      </c>
      <c r="I4" s="129"/>
      <c r="J4" s="136">
        <v>50</v>
      </c>
      <c r="K4" s="136"/>
      <c r="L4" s="137" t="s">
        <v>329</v>
      </c>
      <c r="M4" s="145" t="s">
        <v>370</v>
      </c>
      <c r="N4" s="146">
        <v>11</v>
      </c>
      <c r="O4" s="92" t="s">
        <v>117</v>
      </c>
      <c r="P4" s="92">
        <f>SUM(F3:I34)</f>
        <v>105.44999999999999</v>
      </c>
    </row>
    <row r="5" spans="1:16" ht="16.5">
      <c r="A5" s="140">
        <v>45780</v>
      </c>
      <c r="B5" s="127">
        <v>0</v>
      </c>
      <c r="C5" s="86">
        <v>5.5</v>
      </c>
      <c r="D5" s="52"/>
      <c r="E5" s="52">
        <v>3</v>
      </c>
      <c r="F5" s="52">
        <v>3</v>
      </c>
      <c r="G5" s="127">
        <v>2</v>
      </c>
      <c r="H5" s="134">
        <v>0.75</v>
      </c>
      <c r="I5" s="129"/>
      <c r="J5" s="136">
        <v>26</v>
      </c>
      <c r="K5" s="136"/>
      <c r="L5" s="137" t="s">
        <v>335</v>
      </c>
      <c r="M5" s="143" t="s">
        <v>396</v>
      </c>
      <c r="N5" s="144">
        <v>18.5</v>
      </c>
    </row>
    <row r="6" spans="1:16" ht="16.5">
      <c r="A6" s="140">
        <v>45781</v>
      </c>
      <c r="B6" s="75">
        <v>3.5</v>
      </c>
      <c r="C6" s="86">
        <v>1.5</v>
      </c>
      <c r="D6" s="52">
        <v>1</v>
      </c>
      <c r="E6" s="52">
        <v>1</v>
      </c>
      <c r="F6" s="52"/>
      <c r="G6" s="82">
        <v>1.5</v>
      </c>
      <c r="H6" s="82">
        <v>1.5</v>
      </c>
      <c r="I6" s="129">
        <v>1.25</v>
      </c>
      <c r="J6" s="136"/>
      <c r="K6" s="136"/>
      <c r="L6" s="137" t="s">
        <v>334</v>
      </c>
      <c r="M6" s="62" t="s">
        <v>358</v>
      </c>
      <c r="N6" s="131">
        <v>5.25</v>
      </c>
      <c r="O6" s="54" t="s">
        <v>129</v>
      </c>
      <c r="P6" s="54" t="s">
        <v>132</v>
      </c>
    </row>
    <row r="7" spans="1:16" ht="16.5">
      <c r="A7" s="140">
        <v>45782</v>
      </c>
      <c r="B7" s="75">
        <v>2.25</v>
      </c>
      <c r="C7" s="86">
        <v>0.75</v>
      </c>
      <c r="D7" s="52"/>
      <c r="E7" s="52"/>
      <c r="F7" s="52"/>
      <c r="G7" s="82">
        <v>1</v>
      </c>
      <c r="H7" s="82">
        <v>1</v>
      </c>
      <c r="I7" s="129"/>
      <c r="J7" s="136">
        <v>15</v>
      </c>
      <c r="K7" s="136"/>
      <c r="L7" s="137" t="s">
        <v>336</v>
      </c>
      <c r="M7" s="67"/>
      <c r="N7" s="131"/>
      <c r="O7" s="107" t="s">
        <v>362</v>
      </c>
      <c r="P7" s="108" t="s">
        <v>363</v>
      </c>
    </row>
    <row r="8" spans="1:16" ht="16.5">
      <c r="A8" s="140">
        <v>45783</v>
      </c>
      <c r="B8" s="75">
        <v>2</v>
      </c>
      <c r="C8" s="86"/>
      <c r="D8" s="52"/>
      <c r="E8" s="52"/>
      <c r="F8" s="52">
        <v>1</v>
      </c>
      <c r="G8" s="82">
        <v>1.5</v>
      </c>
      <c r="H8" s="82"/>
      <c r="I8" s="129"/>
      <c r="J8" s="136">
        <v>15</v>
      </c>
      <c r="K8" s="136" t="s">
        <v>66</v>
      </c>
      <c r="L8" s="137" t="s">
        <v>338</v>
      </c>
      <c r="M8" s="65" t="s">
        <v>325</v>
      </c>
      <c r="N8" s="131">
        <v>18.25</v>
      </c>
      <c r="O8" s="119" t="s">
        <v>364</v>
      </c>
      <c r="P8" s="119">
        <v>0.75</v>
      </c>
    </row>
    <row r="9" spans="1:16" ht="16.5">
      <c r="A9" s="140">
        <v>45784</v>
      </c>
      <c r="B9" s="75">
        <v>1.5</v>
      </c>
      <c r="C9" s="86"/>
      <c r="D9" s="52">
        <v>1</v>
      </c>
      <c r="E9" s="52">
        <v>0.25</v>
      </c>
      <c r="F9" s="52"/>
      <c r="G9" s="82">
        <v>0.75</v>
      </c>
      <c r="H9" s="82">
        <v>1</v>
      </c>
      <c r="I9" s="129"/>
      <c r="J9" s="136">
        <v>15</v>
      </c>
      <c r="K9" s="136" t="s">
        <v>342</v>
      </c>
      <c r="L9" s="137" t="s">
        <v>340</v>
      </c>
      <c r="M9" s="101"/>
      <c r="N9" s="131"/>
      <c r="O9" s="108" t="s">
        <v>366</v>
      </c>
      <c r="P9" s="108" t="s">
        <v>156</v>
      </c>
    </row>
    <row r="10" spans="1:16" ht="16.5">
      <c r="A10" s="140">
        <v>45785</v>
      </c>
      <c r="B10" s="75">
        <v>3</v>
      </c>
      <c r="C10" s="86">
        <v>1</v>
      </c>
      <c r="D10" s="52"/>
      <c r="E10" s="52"/>
      <c r="F10" s="52"/>
      <c r="G10" s="82"/>
      <c r="H10" s="82"/>
      <c r="I10" s="129"/>
      <c r="J10" s="136">
        <v>10</v>
      </c>
      <c r="K10" s="136" t="s">
        <v>342</v>
      </c>
      <c r="L10" s="137" t="s">
        <v>341</v>
      </c>
      <c r="M10" s="117" t="s">
        <v>337</v>
      </c>
      <c r="N10" s="131">
        <v>2</v>
      </c>
      <c r="O10" s="148" t="s">
        <v>388</v>
      </c>
      <c r="P10" s="119">
        <v>3</v>
      </c>
    </row>
    <row r="11" spans="1:16" ht="16.5">
      <c r="A11" s="140">
        <v>45786</v>
      </c>
      <c r="B11" s="75">
        <v>1.5</v>
      </c>
      <c r="C11" s="86">
        <v>1</v>
      </c>
      <c r="D11" s="52">
        <v>0.25</v>
      </c>
      <c r="E11" s="52"/>
      <c r="F11" s="52"/>
      <c r="G11" s="82">
        <v>0.5</v>
      </c>
      <c r="H11" s="82">
        <v>2</v>
      </c>
      <c r="I11" s="129"/>
      <c r="J11" s="136"/>
      <c r="K11" s="136"/>
      <c r="L11" s="137" t="s">
        <v>343</v>
      </c>
      <c r="M11" s="62" t="s">
        <v>300</v>
      </c>
      <c r="N11" s="131">
        <v>2</v>
      </c>
      <c r="O11" s="127" t="s">
        <v>279</v>
      </c>
    </row>
    <row r="12" spans="1:16" ht="16.5">
      <c r="A12" s="140">
        <v>45787</v>
      </c>
      <c r="B12" s="75">
        <v>1.25</v>
      </c>
      <c r="C12" s="86">
        <v>1.5</v>
      </c>
      <c r="D12" s="52">
        <v>0.25</v>
      </c>
      <c r="E12" s="127">
        <v>1</v>
      </c>
      <c r="F12" s="52"/>
      <c r="G12" s="82">
        <v>2.5</v>
      </c>
      <c r="H12" s="82">
        <v>2</v>
      </c>
      <c r="I12" s="129"/>
      <c r="J12" s="136"/>
      <c r="K12" s="136"/>
      <c r="L12" s="137" t="s">
        <v>345</v>
      </c>
      <c r="M12" s="67" t="s">
        <v>387</v>
      </c>
      <c r="N12" s="131">
        <v>2.5</v>
      </c>
      <c r="O12" s="120" t="s">
        <v>301</v>
      </c>
      <c r="P12" s="120" t="s">
        <v>79</v>
      </c>
    </row>
    <row r="13" spans="1:16" ht="16.5">
      <c r="A13" s="140">
        <v>45788</v>
      </c>
      <c r="B13" s="75">
        <v>1</v>
      </c>
      <c r="C13" s="86">
        <v>5</v>
      </c>
      <c r="D13" s="52">
        <v>2</v>
      </c>
      <c r="E13" s="52"/>
      <c r="F13" s="52"/>
      <c r="G13" s="82">
        <v>1.5</v>
      </c>
      <c r="H13" s="82">
        <v>1</v>
      </c>
      <c r="I13" s="129"/>
      <c r="J13" s="136"/>
      <c r="K13" s="136"/>
      <c r="L13" s="137" t="s">
        <v>346</v>
      </c>
      <c r="M13" s="62"/>
      <c r="N13" s="131"/>
      <c r="O13" s="120" t="s">
        <v>302</v>
      </c>
      <c r="P13" s="120" t="s">
        <v>303</v>
      </c>
    </row>
    <row r="14" spans="1:16" ht="18" customHeight="1">
      <c r="A14" s="140">
        <v>45789</v>
      </c>
      <c r="B14" s="75">
        <v>3</v>
      </c>
      <c r="C14" s="86"/>
      <c r="D14" s="52"/>
      <c r="E14" s="52"/>
      <c r="F14" s="52"/>
      <c r="G14" s="82">
        <v>0.5</v>
      </c>
      <c r="H14" s="82">
        <v>1</v>
      </c>
      <c r="I14" s="129"/>
      <c r="J14" s="136">
        <v>6</v>
      </c>
      <c r="K14" s="136"/>
      <c r="L14" s="137" t="s">
        <v>355</v>
      </c>
      <c r="M14" s="62"/>
      <c r="N14" s="131"/>
      <c r="O14" s="120" t="s">
        <v>304</v>
      </c>
      <c r="P14" s="120" t="s">
        <v>305</v>
      </c>
    </row>
    <row r="15" spans="1:16" ht="16.5">
      <c r="A15" s="140">
        <v>45790</v>
      </c>
      <c r="B15" s="75">
        <v>4.75</v>
      </c>
      <c r="C15" s="86"/>
      <c r="D15" s="52">
        <v>1.25</v>
      </c>
      <c r="E15" s="52"/>
      <c r="F15" s="52"/>
      <c r="G15" s="82">
        <v>1</v>
      </c>
      <c r="H15" s="82">
        <v>3.5</v>
      </c>
      <c r="I15" s="129">
        <v>0.5</v>
      </c>
      <c r="J15" s="136">
        <v>46</v>
      </c>
      <c r="K15" s="136"/>
      <c r="L15" s="137" t="s">
        <v>357</v>
      </c>
      <c r="M15" s="62"/>
      <c r="N15" s="131"/>
      <c r="O15" s="120" t="s">
        <v>348</v>
      </c>
      <c r="P15" s="120" t="s">
        <v>307</v>
      </c>
    </row>
    <row r="16" spans="1:16" ht="16.5">
      <c r="A16" s="140">
        <v>45791</v>
      </c>
      <c r="B16" s="75">
        <v>2</v>
      </c>
      <c r="C16" s="86">
        <v>0.25</v>
      </c>
      <c r="D16" s="52">
        <v>0.75</v>
      </c>
      <c r="E16" s="52"/>
      <c r="F16" s="52"/>
      <c r="G16" s="82">
        <v>0.5</v>
      </c>
      <c r="H16" s="82">
        <v>0.3</v>
      </c>
      <c r="I16" s="129">
        <v>0.5</v>
      </c>
      <c r="J16" s="136"/>
      <c r="K16" s="136"/>
      <c r="L16" s="137" t="s">
        <v>360</v>
      </c>
      <c r="M16" s="62" t="s">
        <v>377</v>
      </c>
      <c r="N16" s="131">
        <v>1.5</v>
      </c>
      <c r="O16" s="405" t="s">
        <v>365</v>
      </c>
      <c r="P16" s="406"/>
    </row>
    <row r="17" spans="1:17" ht="16.5">
      <c r="A17" s="140">
        <v>45792</v>
      </c>
      <c r="B17" s="75">
        <v>3</v>
      </c>
      <c r="C17" s="86"/>
      <c r="D17" s="52"/>
      <c r="E17" s="52">
        <v>1</v>
      </c>
      <c r="F17" s="52"/>
      <c r="G17" s="82"/>
      <c r="H17" s="82">
        <v>1.75</v>
      </c>
      <c r="I17" s="129"/>
      <c r="J17" s="136"/>
      <c r="K17" s="136"/>
      <c r="L17" s="137" t="s">
        <v>361</v>
      </c>
      <c r="M17" s="117" t="s">
        <v>333</v>
      </c>
      <c r="N17" s="131">
        <v>1</v>
      </c>
    </row>
    <row r="18" spans="1:17" ht="16.5">
      <c r="A18" s="140">
        <v>45793</v>
      </c>
      <c r="B18" s="75">
        <v>2.75</v>
      </c>
      <c r="C18" s="86"/>
      <c r="D18" s="52">
        <v>0.5</v>
      </c>
      <c r="E18" s="52"/>
      <c r="F18" s="52"/>
      <c r="G18" s="82">
        <v>1.4</v>
      </c>
      <c r="H18" s="82">
        <v>0.5</v>
      </c>
      <c r="I18" s="129"/>
      <c r="J18" s="136"/>
      <c r="K18" s="136"/>
      <c r="L18" s="137" t="s">
        <v>369</v>
      </c>
      <c r="M18" s="68" t="s">
        <v>384</v>
      </c>
      <c r="N18" s="131">
        <v>9</v>
      </c>
      <c r="O18" s="147" t="s">
        <v>367</v>
      </c>
      <c r="P18" s="127">
        <v>1</v>
      </c>
    </row>
    <row r="19" spans="1:17" ht="16.5">
      <c r="A19" s="140">
        <v>45794</v>
      </c>
      <c r="B19" s="75">
        <v>2.15</v>
      </c>
      <c r="C19" s="86">
        <v>1.5</v>
      </c>
      <c r="D19" s="52">
        <v>1.75</v>
      </c>
      <c r="E19" s="52"/>
      <c r="F19" s="52">
        <v>6.5</v>
      </c>
      <c r="G19" s="82"/>
      <c r="H19" s="82"/>
      <c r="I19" s="129"/>
      <c r="J19" s="136"/>
      <c r="K19" s="136"/>
      <c r="L19" s="137" t="s">
        <v>371</v>
      </c>
      <c r="M19" s="117" t="s">
        <v>372</v>
      </c>
      <c r="N19" s="142">
        <v>0.5</v>
      </c>
      <c r="O19" s="126" t="s">
        <v>368</v>
      </c>
      <c r="P19" s="126">
        <v>0.5</v>
      </c>
      <c r="Q19" s="126"/>
    </row>
    <row r="20" spans="1:17" ht="16.5">
      <c r="A20" s="140">
        <v>45795</v>
      </c>
      <c r="B20" s="75">
        <v>4.25</v>
      </c>
      <c r="D20" s="86">
        <v>1.5</v>
      </c>
      <c r="E20" s="52">
        <v>0.5</v>
      </c>
      <c r="F20" s="52"/>
      <c r="G20" s="82">
        <v>1.25</v>
      </c>
      <c r="H20" s="82">
        <v>2</v>
      </c>
      <c r="I20" s="129"/>
      <c r="J20" s="136"/>
      <c r="K20" s="136"/>
      <c r="L20" s="137" t="s">
        <v>373</v>
      </c>
      <c r="M20" s="62" t="s">
        <v>375</v>
      </c>
      <c r="N20" s="131">
        <v>0.5</v>
      </c>
      <c r="O20" s="126"/>
      <c r="P20" s="126"/>
      <c r="Q20" s="126"/>
    </row>
    <row r="21" spans="1:17" ht="16.5">
      <c r="A21" s="140">
        <v>45796</v>
      </c>
      <c r="B21" s="75">
        <v>3.5</v>
      </c>
      <c r="C21" s="86"/>
      <c r="D21" s="52"/>
      <c r="E21" s="52">
        <v>1</v>
      </c>
      <c r="F21" s="52"/>
      <c r="G21" s="82">
        <v>0.5</v>
      </c>
      <c r="H21" s="82"/>
      <c r="I21" s="129"/>
      <c r="J21" s="136"/>
      <c r="K21" s="136"/>
      <c r="L21" s="137" t="s">
        <v>376</v>
      </c>
      <c r="M21" s="69" t="s">
        <v>280</v>
      </c>
      <c r="N21" s="132">
        <v>0.5</v>
      </c>
      <c r="O21" s="126"/>
      <c r="P21" s="128"/>
      <c r="Q21" s="128"/>
    </row>
    <row r="22" spans="1:17" ht="16.5">
      <c r="A22" s="140">
        <v>45797</v>
      </c>
      <c r="B22" s="75">
        <v>1.75</v>
      </c>
      <c r="C22" s="86"/>
      <c r="D22" s="52"/>
      <c r="E22" s="52"/>
      <c r="F22" s="52"/>
      <c r="G22" s="82">
        <v>1</v>
      </c>
      <c r="H22" s="82">
        <v>2.25</v>
      </c>
      <c r="I22" s="129"/>
      <c r="J22" s="136"/>
      <c r="K22" s="136"/>
      <c r="L22" s="137" t="s">
        <v>379</v>
      </c>
      <c r="M22" s="99" t="s">
        <v>378</v>
      </c>
      <c r="N22" s="133">
        <v>8.25</v>
      </c>
      <c r="O22" s="128" t="s">
        <v>120</v>
      </c>
      <c r="P22" s="128"/>
      <c r="Q22" s="128"/>
    </row>
    <row r="23" spans="1:17" ht="16.5">
      <c r="A23" s="140">
        <v>45798</v>
      </c>
      <c r="B23" s="75">
        <v>0</v>
      </c>
      <c r="C23" s="86"/>
      <c r="D23" s="52"/>
      <c r="E23" s="52">
        <v>4</v>
      </c>
      <c r="F23" s="52"/>
      <c r="G23" s="82"/>
      <c r="H23" s="82"/>
      <c r="I23" s="129"/>
      <c r="J23" s="136"/>
      <c r="K23" s="136"/>
      <c r="L23" s="137" t="s">
        <v>249</v>
      </c>
      <c r="M23" s="138" t="s">
        <v>356</v>
      </c>
      <c r="N23" s="133">
        <v>6.75</v>
      </c>
      <c r="O23" s="128" t="s">
        <v>380</v>
      </c>
      <c r="P23" s="128"/>
      <c r="Q23" s="128"/>
    </row>
    <row r="24" spans="1:17" ht="16.5">
      <c r="A24" s="140">
        <v>45799</v>
      </c>
      <c r="B24" s="75">
        <v>0</v>
      </c>
      <c r="C24" s="86"/>
      <c r="D24" s="52"/>
      <c r="E24" s="52">
        <v>4</v>
      </c>
      <c r="F24" s="52"/>
      <c r="G24" s="82"/>
      <c r="H24" s="82"/>
      <c r="I24" s="129"/>
      <c r="J24" s="136"/>
      <c r="K24" s="136"/>
      <c r="L24" s="137" t="s">
        <v>249</v>
      </c>
      <c r="M24" s="149" t="s">
        <v>382</v>
      </c>
      <c r="N24" s="133">
        <v>20.5</v>
      </c>
      <c r="O24" s="128"/>
    </row>
    <row r="25" spans="1:17" ht="16.5">
      <c r="A25" s="140">
        <v>45800</v>
      </c>
      <c r="B25" s="75">
        <v>1</v>
      </c>
      <c r="C25" s="86"/>
      <c r="D25" s="52"/>
      <c r="E25" s="52"/>
      <c r="F25" s="52"/>
      <c r="G25" s="82"/>
      <c r="H25" s="82">
        <v>5</v>
      </c>
      <c r="J25" s="136"/>
      <c r="K25" s="136"/>
      <c r="L25" s="137" t="s">
        <v>381</v>
      </c>
      <c r="M25" s="47"/>
      <c r="N25" s="106"/>
    </row>
    <row r="26" spans="1:17" ht="16.5">
      <c r="A26" s="140">
        <v>45801</v>
      </c>
      <c r="B26" s="75">
        <v>0</v>
      </c>
      <c r="C26" s="86"/>
      <c r="D26" s="52"/>
      <c r="E26" s="52"/>
      <c r="F26" s="52"/>
      <c r="G26" s="82"/>
      <c r="H26" s="82">
        <v>5</v>
      </c>
      <c r="I26" s="129"/>
      <c r="J26" s="136"/>
      <c r="K26" s="136"/>
      <c r="L26" s="137" t="s">
        <v>381</v>
      </c>
      <c r="M26" s="55"/>
      <c r="N26" s="48"/>
    </row>
    <row r="27" spans="1:17" ht="16.5">
      <c r="A27" s="140">
        <v>45802</v>
      </c>
      <c r="B27" s="75">
        <v>3.5</v>
      </c>
      <c r="C27" s="86">
        <v>2</v>
      </c>
      <c r="D27" s="52">
        <v>0.5</v>
      </c>
      <c r="E27" s="52">
        <v>1.5</v>
      </c>
      <c r="F27" s="52"/>
      <c r="G27" s="82"/>
      <c r="H27" s="82">
        <v>5</v>
      </c>
      <c r="I27" s="129"/>
      <c r="J27" s="136"/>
      <c r="K27" s="136"/>
      <c r="L27" s="137" t="s">
        <v>385</v>
      </c>
      <c r="M27" s="129" t="s">
        <v>311</v>
      </c>
    </row>
    <row r="28" spans="1:17" ht="42" customHeight="1">
      <c r="A28" s="140">
        <v>45803</v>
      </c>
      <c r="B28" s="75">
        <v>0</v>
      </c>
      <c r="C28" s="86"/>
      <c r="D28" s="52"/>
      <c r="E28" s="52"/>
      <c r="F28" s="52"/>
      <c r="G28" s="82"/>
      <c r="H28" s="82">
        <v>5</v>
      </c>
      <c r="I28" s="129"/>
      <c r="J28" s="136"/>
      <c r="K28" s="136"/>
      <c r="L28" s="137" t="s">
        <v>383</v>
      </c>
      <c r="M28" s="402" t="s">
        <v>393</v>
      </c>
      <c r="N28" s="402"/>
      <c r="O28" s="402"/>
      <c r="P28" s="402"/>
      <c r="Q28" s="402"/>
    </row>
    <row r="29" spans="1:17" ht="27" customHeight="1">
      <c r="A29" s="140">
        <v>45804</v>
      </c>
      <c r="B29" s="75">
        <v>0</v>
      </c>
      <c r="C29" s="86"/>
      <c r="D29" s="52"/>
      <c r="E29" s="52"/>
      <c r="F29" s="52">
        <v>1</v>
      </c>
      <c r="G29" s="82"/>
      <c r="H29" s="82"/>
      <c r="I29" s="129"/>
      <c r="J29" s="136"/>
      <c r="K29" s="136"/>
      <c r="L29" s="137"/>
      <c r="M29" s="402"/>
      <c r="N29" s="402"/>
      <c r="O29" s="402"/>
      <c r="P29" s="402"/>
      <c r="Q29" s="402"/>
    </row>
    <row r="30" spans="1:17" ht="31.5" customHeight="1">
      <c r="A30" s="140">
        <v>45805</v>
      </c>
      <c r="B30" s="75">
        <v>0</v>
      </c>
      <c r="C30" s="86"/>
      <c r="D30" s="52"/>
      <c r="E30" s="52"/>
      <c r="F30" s="52">
        <v>2</v>
      </c>
      <c r="G30" s="82"/>
      <c r="H30" s="82"/>
      <c r="I30" s="129"/>
      <c r="J30" s="136"/>
      <c r="K30" s="136"/>
      <c r="L30" s="137"/>
      <c r="M30" s="127" t="s">
        <v>320</v>
      </c>
    </row>
    <row r="31" spans="1:17" ht="16.5">
      <c r="A31" s="140">
        <v>45806</v>
      </c>
      <c r="B31" s="75">
        <v>2.2000000000000002</v>
      </c>
      <c r="C31" s="86">
        <v>0.9</v>
      </c>
      <c r="D31" s="52"/>
      <c r="E31" s="52">
        <v>1</v>
      </c>
      <c r="F31" s="52"/>
      <c r="G31" s="82">
        <v>0.5</v>
      </c>
      <c r="H31" s="82"/>
      <c r="I31" s="129"/>
      <c r="J31" s="136"/>
      <c r="K31" s="136"/>
      <c r="L31" s="137" t="s">
        <v>386</v>
      </c>
      <c r="O31" s="139" t="s">
        <v>350</v>
      </c>
      <c r="P31" s="139">
        <v>10</v>
      </c>
    </row>
    <row r="32" spans="1:17" ht="16.5">
      <c r="A32" s="140">
        <v>45807</v>
      </c>
      <c r="B32" s="75">
        <v>2.5</v>
      </c>
      <c r="C32" s="86">
        <v>0.5</v>
      </c>
      <c r="D32" s="52"/>
      <c r="E32" s="52"/>
      <c r="F32" s="52"/>
      <c r="G32" s="82">
        <v>0.75</v>
      </c>
      <c r="H32" s="82">
        <v>2.5</v>
      </c>
      <c r="I32" s="129"/>
      <c r="J32" s="136"/>
      <c r="K32" s="136"/>
      <c r="L32" s="137" t="s">
        <v>390</v>
      </c>
      <c r="O32" s="139" t="s">
        <v>351</v>
      </c>
      <c r="P32" s="139">
        <v>15</v>
      </c>
    </row>
    <row r="33" spans="1:17" ht="16.5">
      <c r="A33" s="140">
        <v>45808</v>
      </c>
      <c r="B33" s="75">
        <v>3</v>
      </c>
      <c r="C33" s="86">
        <v>1</v>
      </c>
      <c r="D33" s="52">
        <v>1</v>
      </c>
      <c r="E33" s="52">
        <v>1</v>
      </c>
      <c r="G33" s="82">
        <v>2</v>
      </c>
      <c r="H33" s="82">
        <v>2.5</v>
      </c>
      <c r="I33" s="129"/>
      <c r="J33" s="136"/>
      <c r="K33" s="136"/>
      <c r="L33" s="137" t="s">
        <v>391</v>
      </c>
      <c r="M33" s="129"/>
      <c r="O33" s="141" t="s">
        <v>349</v>
      </c>
      <c r="P33" s="139">
        <v>15</v>
      </c>
      <c r="Q33" s="129"/>
    </row>
    <row r="34" spans="1:17" ht="16.5">
      <c r="A34" s="129"/>
      <c r="B34" s="129"/>
      <c r="C34" s="129"/>
      <c r="D34" s="129"/>
      <c r="E34" s="129"/>
      <c r="F34" s="129"/>
      <c r="G34" s="82">
        <v>15</v>
      </c>
      <c r="H34" s="82"/>
      <c r="I34" s="129"/>
      <c r="J34" s="129"/>
      <c r="K34" s="129"/>
      <c r="L34" s="129"/>
      <c r="O34" s="139" t="s">
        <v>352</v>
      </c>
      <c r="P34" s="139">
        <v>20</v>
      </c>
    </row>
    <row r="35" spans="1:17">
      <c r="A35" s="127" t="s">
        <v>120</v>
      </c>
      <c r="B35" s="127">
        <v>3.5</v>
      </c>
      <c r="O35" s="139" t="s">
        <v>353</v>
      </c>
      <c r="P35" s="139">
        <v>15</v>
      </c>
    </row>
    <row r="36" spans="1:17">
      <c r="O36" s="139" t="s">
        <v>136</v>
      </c>
      <c r="P36" s="139">
        <v>15</v>
      </c>
    </row>
    <row r="37" spans="1:17">
      <c r="O37" s="139" t="s">
        <v>354</v>
      </c>
      <c r="P37" s="139">
        <f>SUM(P31:P36)/60</f>
        <v>1.5</v>
      </c>
    </row>
    <row r="55" spans="5:5">
      <c r="E55" s="51"/>
    </row>
    <row r="56" spans="5:5">
      <c r="E56" s="51"/>
    </row>
    <row r="58" spans="5:5">
      <c r="E58" s="51"/>
    </row>
  </sheetData>
  <mergeCells count="2">
    <mergeCell ref="O16:P16"/>
    <mergeCell ref="M28:Q29"/>
  </mergeCells>
  <conditionalFormatting sqref="B3:B4 B6:B33">
    <cfRule type="cellIs" dxfId="71" priority="2" operator="lessThan">
      <formula>$B$35</formula>
    </cfRule>
    <cfRule type="cellIs" dxfId="70" priority="3" operator="between">
      <formula>$B$35</formula>
      <formula>3</formula>
    </cfRule>
    <cfRule type="cellIs" dxfId="69" priority="4" operator="greaterThan">
      <formula>$B$35</formula>
    </cfRule>
  </conditionalFormatting>
  <conditionalFormatting sqref="A3:A33">
    <cfRule type="expression" dxfId="68" priority="1">
      <formula>WEEKDAY(A3,2)&gt;5</formula>
    </cfRule>
  </conditionalFormatting>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2" activePane="bottomLeft" state="frozen"/>
      <selection pane="bottomLeft" activeCell="I11" sqref="I11"/>
    </sheetView>
  </sheetViews>
  <sheetFormatPr defaultColWidth="9.140625" defaultRowHeight="15"/>
  <cols>
    <col min="1" max="1" width="8.85546875" style="245" customWidth="1"/>
    <col min="2" max="2" width="6.28515625" style="245" customWidth="1"/>
    <col min="3" max="3" width="8.42578125" style="245" customWidth="1"/>
    <col min="4" max="4" width="6.42578125" style="245" customWidth="1"/>
    <col min="5" max="5" width="6.28515625" style="245" customWidth="1"/>
    <col min="6" max="6" width="9.140625" style="245" customWidth="1"/>
    <col min="7" max="7" width="9.140625" style="245"/>
    <col min="8" max="8" width="6.42578125" style="245" customWidth="1"/>
    <col min="9" max="9" width="77.5703125" style="245" customWidth="1"/>
    <col min="10" max="10" width="61.42578125" style="245" customWidth="1"/>
    <col min="11" max="11" width="12.5703125" style="245" customWidth="1"/>
    <col min="12" max="12" width="19.85546875" style="245" bestFit="1" customWidth="1"/>
    <col min="13" max="16384" width="9.140625" style="245"/>
  </cols>
  <sheetData>
    <row r="1" spans="1:13" ht="58.5" customHeight="1">
      <c r="A1" s="38" t="s">
        <v>109</v>
      </c>
      <c r="B1" s="39" t="s">
        <v>1</v>
      </c>
      <c r="C1" s="156" t="s">
        <v>328</v>
      </c>
      <c r="D1" s="156" t="s">
        <v>344</v>
      </c>
      <c r="E1" s="157" t="s">
        <v>313</v>
      </c>
      <c r="F1" s="78" t="s">
        <v>359</v>
      </c>
      <c r="G1" s="78" t="s">
        <v>7</v>
      </c>
      <c r="H1" s="77" t="s">
        <v>403</v>
      </c>
      <c r="I1" s="130" t="s">
        <v>472</v>
      </c>
      <c r="J1" s="56" t="s">
        <v>11</v>
      </c>
      <c r="K1" s="88"/>
      <c r="L1" s="89" t="s">
        <v>218</v>
      </c>
      <c r="M1" s="90">
        <f>SUM(B3:B33)</f>
        <v>33.799999999999997</v>
      </c>
    </row>
    <row r="2" spans="1:13" ht="16.5">
      <c r="B2" s="248"/>
      <c r="C2" s="167">
        <f t="shared" ref="C2:G2" si="0">SUM(C3:C33)</f>
        <v>15</v>
      </c>
      <c r="D2" s="167">
        <f t="shared" si="0"/>
        <v>8.15</v>
      </c>
      <c r="E2" s="52">
        <f t="shared" si="0"/>
        <v>29.5</v>
      </c>
      <c r="F2" s="248">
        <f t="shared" si="0"/>
        <v>39.25</v>
      </c>
      <c r="G2" s="248">
        <f t="shared" si="0"/>
        <v>29.75</v>
      </c>
      <c r="H2" s="52">
        <f>SUM(H3:H32)</f>
        <v>13.5</v>
      </c>
      <c r="I2" s="248"/>
      <c r="J2" s="248"/>
      <c r="K2" s="245" t="s">
        <v>110</v>
      </c>
      <c r="L2" s="91" t="s">
        <v>219</v>
      </c>
      <c r="M2" s="91">
        <f>SUM(M3:M4)</f>
        <v>150.15</v>
      </c>
    </row>
    <row r="3" spans="1:13" ht="16.5">
      <c r="A3" s="140">
        <v>45809</v>
      </c>
      <c r="B3" s="166">
        <v>2.8</v>
      </c>
      <c r="C3" s="168">
        <v>4.75</v>
      </c>
      <c r="D3" s="228"/>
      <c r="E3" s="229"/>
      <c r="F3" s="237">
        <v>2</v>
      </c>
      <c r="G3" s="231">
        <v>0.5</v>
      </c>
      <c r="H3" s="52"/>
      <c r="I3" s="137" t="s">
        <v>394</v>
      </c>
      <c r="J3" s="57" t="s">
        <v>272</v>
      </c>
      <c r="K3" s="131" t="s">
        <v>277</v>
      </c>
      <c r="L3" s="92" t="s">
        <v>116</v>
      </c>
      <c r="M3" s="92">
        <f>SUM(C3:E33)</f>
        <v>52.65</v>
      </c>
    </row>
    <row r="4" spans="1:13" ht="19.5" customHeight="1">
      <c r="A4" s="140">
        <v>45810</v>
      </c>
      <c r="B4" s="166">
        <v>7</v>
      </c>
      <c r="C4" s="168">
        <v>2</v>
      </c>
      <c r="D4" s="228">
        <v>0.5</v>
      </c>
      <c r="E4" s="232">
        <v>1</v>
      </c>
      <c r="F4" s="223">
        <v>1</v>
      </c>
      <c r="G4" s="233"/>
      <c r="H4" s="52"/>
      <c r="I4" s="137" t="s">
        <v>397</v>
      </c>
      <c r="J4" s="158" t="s">
        <v>395</v>
      </c>
      <c r="K4" s="159"/>
      <c r="L4" s="92" t="s">
        <v>469</v>
      </c>
      <c r="M4" s="92">
        <f>SUM(F3:H34)</f>
        <v>97.5</v>
      </c>
    </row>
    <row r="5" spans="1:13" ht="16.5">
      <c r="A5" s="140">
        <v>45811</v>
      </c>
      <c r="B5" s="245">
        <v>1.5</v>
      </c>
      <c r="C5" s="168">
        <v>0.25</v>
      </c>
      <c r="D5" s="228">
        <v>1</v>
      </c>
      <c r="E5" s="232"/>
      <c r="F5" s="230">
        <v>0.5</v>
      </c>
      <c r="G5" s="238">
        <v>0.5</v>
      </c>
      <c r="H5" s="52">
        <v>1.5</v>
      </c>
      <c r="I5" s="137" t="s">
        <v>404</v>
      </c>
      <c r="J5" s="160"/>
      <c r="K5" s="161"/>
    </row>
    <row r="6" spans="1:13" ht="16.5">
      <c r="A6" s="140">
        <v>45812</v>
      </c>
      <c r="B6" s="166">
        <v>2</v>
      </c>
      <c r="C6" s="168">
        <v>0.5</v>
      </c>
      <c r="D6" s="229"/>
      <c r="E6" s="232"/>
      <c r="F6" s="223">
        <v>1.25</v>
      </c>
      <c r="G6" s="233"/>
      <c r="H6" s="52">
        <v>1</v>
      </c>
      <c r="I6" s="137" t="s">
        <v>405</v>
      </c>
      <c r="J6" s="158" t="s">
        <v>482</v>
      </c>
      <c r="K6" s="159">
        <v>3.5</v>
      </c>
      <c r="L6" s="54" t="s">
        <v>129</v>
      </c>
      <c r="M6" s="54" t="s">
        <v>132</v>
      </c>
    </row>
    <row r="7" spans="1:13" ht="16.5">
      <c r="A7" s="140">
        <v>45813</v>
      </c>
      <c r="B7" s="166"/>
      <c r="C7" s="168"/>
      <c r="D7" s="217"/>
      <c r="E7" s="232"/>
      <c r="F7" s="223">
        <v>3.5</v>
      </c>
      <c r="G7" s="233">
        <v>0.5</v>
      </c>
      <c r="H7" s="52">
        <v>1</v>
      </c>
      <c r="I7" s="137" t="s">
        <v>406</v>
      </c>
      <c r="J7" s="162" t="s">
        <v>486</v>
      </c>
      <c r="K7" s="159">
        <v>13.75</v>
      </c>
      <c r="L7" s="107" t="s">
        <v>475</v>
      </c>
      <c r="M7" s="108" t="s">
        <v>398</v>
      </c>
    </row>
    <row r="8" spans="1:13" ht="16.5">
      <c r="A8" s="140">
        <v>45814</v>
      </c>
      <c r="B8" s="166">
        <v>0.75</v>
      </c>
      <c r="C8" s="168">
        <v>0.25</v>
      </c>
      <c r="D8" s="215"/>
      <c r="E8" s="232">
        <v>2</v>
      </c>
      <c r="F8" s="223">
        <v>1</v>
      </c>
      <c r="G8" s="233"/>
      <c r="H8" s="52"/>
      <c r="I8" s="137" t="s">
        <v>407</v>
      </c>
      <c r="J8" s="163" t="s">
        <v>387</v>
      </c>
      <c r="K8" s="159">
        <v>20</v>
      </c>
      <c r="L8" s="119"/>
      <c r="M8" s="119"/>
    </row>
    <row r="9" spans="1:13" ht="16.5">
      <c r="A9" s="140">
        <v>45815</v>
      </c>
      <c r="B9" s="166"/>
      <c r="C9" s="168">
        <v>0.5</v>
      </c>
      <c r="D9" s="215"/>
      <c r="E9" s="232">
        <v>6</v>
      </c>
      <c r="F9" s="223">
        <v>1</v>
      </c>
      <c r="G9" s="233"/>
      <c r="H9" s="52"/>
      <c r="I9" s="137" t="s">
        <v>408</v>
      </c>
      <c r="J9" s="159" t="s">
        <v>476</v>
      </c>
      <c r="K9" s="159">
        <v>4.75</v>
      </c>
      <c r="L9" s="108" t="s">
        <v>275</v>
      </c>
      <c r="M9" s="108" t="s">
        <v>156</v>
      </c>
    </row>
    <row r="10" spans="1:13" ht="16.5">
      <c r="A10" s="140">
        <v>45816</v>
      </c>
      <c r="B10" s="166">
        <v>1.5</v>
      </c>
      <c r="C10" s="168"/>
      <c r="D10" s="215">
        <v>1.25</v>
      </c>
      <c r="E10" s="232"/>
      <c r="F10" s="223">
        <v>4.25</v>
      </c>
      <c r="G10" s="233"/>
      <c r="H10" s="248">
        <v>1</v>
      </c>
      <c r="I10" s="137" t="s">
        <v>464</v>
      </c>
      <c r="J10" s="159"/>
      <c r="K10" s="159"/>
      <c r="L10" s="148" t="s">
        <v>399</v>
      </c>
      <c r="M10" s="119">
        <v>3</v>
      </c>
    </row>
    <row r="11" spans="1:13" ht="16.5">
      <c r="A11" s="140">
        <v>45817</v>
      </c>
      <c r="B11" s="166"/>
      <c r="C11" s="168"/>
      <c r="D11" s="215"/>
      <c r="E11" s="232"/>
      <c r="F11" s="223"/>
      <c r="G11" s="233">
        <v>3</v>
      </c>
      <c r="H11" s="248"/>
      <c r="I11" s="137" t="s">
        <v>466</v>
      </c>
      <c r="J11" s="158" t="s">
        <v>463</v>
      </c>
      <c r="K11" s="159">
        <v>5</v>
      </c>
      <c r="L11" s="245" t="s">
        <v>400</v>
      </c>
    </row>
    <row r="12" spans="1:13" ht="16.5">
      <c r="A12" s="140">
        <v>45818</v>
      </c>
      <c r="B12" s="166"/>
      <c r="C12" s="168"/>
      <c r="D12" s="215"/>
      <c r="E12" s="239">
        <v>1</v>
      </c>
      <c r="F12" s="223">
        <v>2.5</v>
      </c>
      <c r="G12" s="233">
        <v>3</v>
      </c>
      <c r="H12" s="248"/>
      <c r="I12" s="137" t="s">
        <v>467</v>
      </c>
      <c r="J12" s="159"/>
      <c r="K12" s="159"/>
      <c r="L12" s="120" t="s">
        <v>401</v>
      </c>
      <c r="M12" s="120" t="s">
        <v>79</v>
      </c>
    </row>
    <row r="13" spans="1:13" ht="16.5">
      <c r="A13" s="140">
        <v>45819</v>
      </c>
      <c r="B13" s="166"/>
      <c r="C13" s="168"/>
      <c r="D13" s="215"/>
      <c r="E13" s="232"/>
      <c r="F13" s="223"/>
      <c r="G13" s="233"/>
      <c r="H13" s="248"/>
      <c r="I13" s="137"/>
      <c r="J13" s="158"/>
      <c r="K13" s="159"/>
      <c r="L13" s="120" t="s">
        <v>278</v>
      </c>
      <c r="M13" s="120" t="s">
        <v>402</v>
      </c>
    </row>
    <row r="14" spans="1:13" ht="18" customHeight="1">
      <c r="A14" s="140">
        <v>45820</v>
      </c>
      <c r="B14" s="166"/>
      <c r="C14" s="168"/>
      <c r="D14" s="215"/>
      <c r="E14" s="234"/>
      <c r="F14" s="235"/>
      <c r="G14" s="236">
        <v>3</v>
      </c>
      <c r="H14" s="248"/>
      <c r="I14" s="137" t="s">
        <v>468</v>
      </c>
      <c r="J14" s="240" t="s">
        <v>488</v>
      </c>
      <c r="K14" s="170">
        <v>4.5</v>
      </c>
      <c r="L14" s="120" t="s">
        <v>275</v>
      </c>
      <c r="M14" s="120" t="s">
        <v>307</v>
      </c>
    </row>
    <row r="15" spans="1:13" ht="16.5">
      <c r="A15" s="140">
        <v>45821</v>
      </c>
      <c r="B15" s="166">
        <v>1</v>
      </c>
      <c r="C15" s="168"/>
      <c r="D15" s="215">
        <v>1</v>
      </c>
      <c r="E15" s="222"/>
      <c r="F15" s="223">
        <v>1.5</v>
      </c>
      <c r="G15" s="224">
        <v>2</v>
      </c>
      <c r="H15" s="248"/>
      <c r="I15" s="137" t="s">
        <v>470</v>
      </c>
      <c r="J15" s="158" t="s">
        <v>490</v>
      </c>
      <c r="K15" s="159">
        <v>13.75</v>
      </c>
      <c r="L15" s="120"/>
      <c r="M15" s="120"/>
    </row>
    <row r="16" spans="1:13" ht="16.5">
      <c r="A16" s="140">
        <v>45822</v>
      </c>
      <c r="B16" s="166"/>
      <c r="C16" s="168"/>
      <c r="D16" s="216"/>
      <c r="E16" s="222"/>
      <c r="F16" s="223"/>
      <c r="G16" s="224"/>
      <c r="H16" s="248"/>
      <c r="I16" s="137"/>
      <c r="J16" s="158" t="s">
        <v>409</v>
      </c>
      <c r="K16" s="159">
        <v>4</v>
      </c>
      <c r="L16" s="405" t="s">
        <v>365</v>
      </c>
      <c r="M16" s="406"/>
    </row>
    <row r="17" spans="1:14" ht="16.5">
      <c r="A17" s="140">
        <v>45823</v>
      </c>
      <c r="B17" s="166">
        <v>4</v>
      </c>
      <c r="C17" s="168">
        <v>0.5</v>
      </c>
      <c r="D17" s="217">
        <v>0.5</v>
      </c>
      <c r="E17" s="222">
        <v>0.5</v>
      </c>
      <c r="F17" s="223">
        <v>1.5</v>
      </c>
      <c r="G17" s="224">
        <v>2.5</v>
      </c>
      <c r="H17" s="248"/>
      <c r="I17" s="137" t="s">
        <v>471</v>
      </c>
      <c r="J17" s="159" t="s">
        <v>333</v>
      </c>
      <c r="K17" s="159">
        <v>0.5</v>
      </c>
    </row>
    <row r="18" spans="1:14" ht="16.5">
      <c r="A18" s="140">
        <v>45824</v>
      </c>
      <c r="B18" s="166">
        <v>1</v>
      </c>
      <c r="C18" s="168">
        <v>0.5</v>
      </c>
      <c r="D18" s="215"/>
      <c r="E18" s="222">
        <v>0.5</v>
      </c>
      <c r="F18" s="223">
        <v>1</v>
      </c>
      <c r="G18" s="224">
        <v>1</v>
      </c>
      <c r="H18" s="248">
        <v>2</v>
      </c>
      <c r="I18" s="241" t="s">
        <v>473</v>
      </c>
      <c r="J18" s="158" t="s">
        <v>465</v>
      </c>
      <c r="K18" s="159"/>
      <c r="L18" s="147" t="s">
        <v>367</v>
      </c>
      <c r="M18" s="245">
        <v>1</v>
      </c>
    </row>
    <row r="19" spans="1:14" ht="16.5">
      <c r="A19" s="140">
        <v>45825</v>
      </c>
      <c r="B19" s="166">
        <v>2.25</v>
      </c>
      <c r="C19" s="168">
        <v>0.5</v>
      </c>
      <c r="D19" s="215"/>
      <c r="E19" s="222"/>
      <c r="F19" s="223">
        <v>1</v>
      </c>
      <c r="G19" s="224">
        <v>1</v>
      </c>
      <c r="H19" s="248">
        <v>1</v>
      </c>
      <c r="I19" s="137"/>
      <c r="J19" s="159" t="s">
        <v>474</v>
      </c>
      <c r="K19" s="164">
        <v>1</v>
      </c>
      <c r="L19" s="244" t="s">
        <v>368</v>
      </c>
      <c r="M19" s="244">
        <v>0.5</v>
      </c>
      <c r="N19" s="244"/>
    </row>
    <row r="20" spans="1:14" ht="16.5">
      <c r="A20" s="140">
        <v>45826</v>
      </c>
      <c r="B20" s="166">
        <v>1.5</v>
      </c>
      <c r="C20" s="168">
        <v>0.75</v>
      </c>
      <c r="D20" s="218"/>
      <c r="E20" s="222">
        <v>0.5</v>
      </c>
      <c r="F20" s="223">
        <v>2</v>
      </c>
      <c r="G20" s="224"/>
      <c r="H20" s="248"/>
      <c r="I20" s="137"/>
      <c r="J20" s="158" t="s">
        <v>375</v>
      </c>
      <c r="K20" s="159">
        <v>1.75</v>
      </c>
      <c r="L20" s="244"/>
      <c r="M20" s="244"/>
      <c r="N20" s="244"/>
    </row>
    <row r="21" spans="1:14" ht="16.5">
      <c r="A21" s="140">
        <v>45827</v>
      </c>
      <c r="B21" s="166">
        <v>0.5</v>
      </c>
      <c r="C21" s="168">
        <v>0.5</v>
      </c>
      <c r="D21" s="215">
        <v>0.9</v>
      </c>
      <c r="E21" s="222">
        <v>1</v>
      </c>
      <c r="F21" s="223">
        <v>1</v>
      </c>
      <c r="G21" s="224">
        <v>0.5</v>
      </c>
      <c r="H21" s="248">
        <v>0.5</v>
      </c>
      <c r="I21" s="137" t="s">
        <v>477</v>
      </c>
      <c r="J21" s="165" t="s">
        <v>280</v>
      </c>
      <c r="K21" s="160"/>
      <c r="L21" s="244"/>
      <c r="M21" s="247"/>
      <c r="N21" s="247"/>
    </row>
    <row r="22" spans="1:14" ht="16.5">
      <c r="A22" s="140">
        <v>45828</v>
      </c>
      <c r="B22" s="166">
        <v>1.5</v>
      </c>
      <c r="C22" s="168"/>
      <c r="D22" s="215">
        <v>0.5</v>
      </c>
      <c r="E22" s="222">
        <v>0.5</v>
      </c>
      <c r="F22" s="223">
        <v>2.25</v>
      </c>
      <c r="G22" s="224"/>
      <c r="H22" s="248">
        <v>0.5</v>
      </c>
      <c r="I22" s="137" t="s">
        <v>478</v>
      </c>
      <c r="J22" s="165" t="s">
        <v>479</v>
      </c>
      <c r="K22" s="161">
        <v>5</v>
      </c>
      <c r="L22" s="247" t="s">
        <v>120</v>
      </c>
      <c r="M22" s="247"/>
      <c r="N22" s="247"/>
    </row>
    <row r="23" spans="1:14" ht="16.5">
      <c r="A23" s="140">
        <v>45829</v>
      </c>
      <c r="B23" s="166">
        <v>2</v>
      </c>
      <c r="C23" s="168">
        <v>2</v>
      </c>
      <c r="D23" s="215">
        <v>1</v>
      </c>
      <c r="E23" s="222">
        <v>0.5</v>
      </c>
      <c r="F23" s="223">
        <v>2.5</v>
      </c>
      <c r="G23" s="224"/>
      <c r="H23" s="248">
        <v>1</v>
      </c>
      <c r="I23" s="137" t="s">
        <v>480</v>
      </c>
      <c r="J23" s="160" t="s">
        <v>356</v>
      </c>
      <c r="K23" s="161">
        <v>2</v>
      </c>
      <c r="L23" s="247" t="s">
        <v>380</v>
      </c>
      <c r="M23" s="247"/>
      <c r="N23" s="247"/>
    </row>
    <row r="24" spans="1:14" ht="16.5">
      <c r="A24" s="140">
        <v>45830</v>
      </c>
      <c r="B24" s="166">
        <v>4</v>
      </c>
      <c r="C24" s="168">
        <v>1</v>
      </c>
      <c r="D24" s="215"/>
      <c r="E24" s="222">
        <v>1</v>
      </c>
      <c r="F24" s="223">
        <v>1.5</v>
      </c>
      <c r="G24" s="224">
        <v>1</v>
      </c>
      <c r="H24" s="248">
        <v>0.5</v>
      </c>
      <c r="I24" s="137" t="s">
        <v>481</v>
      </c>
      <c r="J24" s="160" t="s">
        <v>492</v>
      </c>
      <c r="K24" s="161">
        <v>18</v>
      </c>
      <c r="L24" s="247"/>
    </row>
    <row r="25" spans="1:14" ht="16.5">
      <c r="A25" s="140">
        <v>45831</v>
      </c>
      <c r="B25" s="166">
        <v>0</v>
      </c>
      <c r="C25" s="168"/>
      <c r="D25" s="215"/>
      <c r="E25" s="222"/>
      <c r="F25" s="223">
        <v>1</v>
      </c>
      <c r="G25" s="224">
        <v>2.5</v>
      </c>
      <c r="I25" s="137" t="s">
        <v>483</v>
      </c>
      <c r="J25" s="242"/>
      <c r="K25" s="243"/>
    </row>
    <row r="26" spans="1:14" ht="16.5">
      <c r="A26" s="140">
        <v>45832</v>
      </c>
      <c r="B26" s="166">
        <v>0.5</v>
      </c>
      <c r="C26" s="168">
        <v>0.5</v>
      </c>
      <c r="D26" s="215"/>
      <c r="E26" s="222"/>
      <c r="F26" s="223">
        <v>1.5</v>
      </c>
      <c r="G26" s="224">
        <v>2</v>
      </c>
      <c r="H26" s="248"/>
      <c r="I26" s="137" t="s">
        <v>484</v>
      </c>
      <c r="J26" s="55"/>
      <c r="K26" s="48"/>
    </row>
    <row r="27" spans="1:14" ht="16.5">
      <c r="A27" s="140">
        <v>45833</v>
      </c>
      <c r="B27" s="166"/>
      <c r="C27" s="168"/>
      <c r="D27" s="219">
        <v>0.5</v>
      </c>
      <c r="E27" s="222"/>
      <c r="F27" s="223">
        <v>3</v>
      </c>
      <c r="G27" s="224">
        <v>0.75</v>
      </c>
      <c r="H27" s="248"/>
      <c r="I27" s="137" t="s">
        <v>485</v>
      </c>
      <c r="J27" s="248" t="s">
        <v>311</v>
      </c>
    </row>
    <row r="28" spans="1:14" ht="42" customHeight="1">
      <c r="A28" s="140">
        <v>45834</v>
      </c>
      <c r="B28" s="166"/>
      <c r="C28" s="168"/>
      <c r="D28" s="220">
        <v>0.5</v>
      </c>
      <c r="E28" s="222">
        <v>0.5</v>
      </c>
      <c r="F28" s="223">
        <v>1.5</v>
      </c>
      <c r="G28" s="224">
        <v>0.5</v>
      </c>
      <c r="H28" s="248">
        <v>2</v>
      </c>
      <c r="I28" s="137" t="s">
        <v>487</v>
      </c>
      <c r="J28" s="407"/>
      <c r="K28" s="407"/>
      <c r="L28" s="407"/>
      <c r="M28" s="407"/>
      <c r="N28" s="407"/>
    </row>
    <row r="29" spans="1:14" ht="27" customHeight="1">
      <c r="A29" s="140">
        <v>45835</v>
      </c>
      <c r="B29" s="166"/>
      <c r="C29" s="168"/>
      <c r="D29" s="215"/>
      <c r="E29" s="222"/>
      <c r="F29" s="223">
        <v>1</v>
      </c>
      <c r="G29" s="224">
        <v>1</v>
      </c>
      <c r="H29" s="248"/>
      <c r="I29" s="137" t="s">
        <v>391</v>
      </c>
      <c r="J29" s="407"/>
      <c r="K29" s="407"/>
      <c r="L29" s="407"/>
      <c r="M29" s="407"/>
      <c r="N29" s="407"/>
    </row>
    <row r="30" spans="1:14" ht="31.5" customHeight="1">
      <c r="A30" s="140">
        <v>45836</v>
      </c>
      <c r="B30" s="166"/>
      <c r="C30" s="168"/>
      <c r="D30" s="215"/>
      <c r="E30" s="222">
        <v>7</v>
      </c>
      <c r="F30" s="223"/>
      <c r="G30" s="224"/>
      <c r="H30" s="248"/>
      <c r="I30" s="137" t="s">
        <v>489</v>
      </c>
      <c r="J30" s="245" t="s">
        <v>320</v>
      </c>
    </row>
    <row r="31" spans="1:14" ht="16.5">
      <c r="A31" s="140">
        <v>45837</v>
      </c>
      <c r="B31" s="166"/>
      <c r="C31" s="168"/>
      <c r="D31" s="215"/>
      <c r="E31" s="222">
        <v>7</v>
      </c>
      <c r="F31" s="223"/>
      <c r="G31" s="224"/>
      <c r="H31" s="248"/>
      <c r="I31" s="137" t="s">
        <v>489</v>
      </c>
      <c r="L31" s="246" t="s">
        <v>350</v>
      </c>
      <c r="M31" s="246">
        <v>10</v>
      </c>
    </row>
    <row r="32" spans="1:14" ht="16.5">
      <c r="A32" s="140">
        <v>45838</v>
      </c>
      <c r="B32" s="166"/>
      <c r="C32" s="168">
        <v>0.5</v>
      </c>
      <c r="D32" s="215">
        <v>0.5</v>
      </c>
      <c r="E32" s="222">
        <v>0.5</v>
      </c>
      <c r="F32" s="223"/>
      <c r="G32" s="224">
        <v>4.5</v>
      </c>
      <c r="H32" s="248">
        <v>1.5</v>
      </c>
      <c r="I32" s="137" t="s">
        <v>491</v>
      </c>
      <c r="L32" s="246" t="s">
        <v>351</v>
      </c>
      <c r="M32" s="246">
        <v>15</v>
      </c>
    </row>
    <row r="33" spans="1:14" ht="16.5">
      <c r="A33" s="140"/>
      <c r="B33" s="166"/>
      <c r="C33" s="169"/>
      <c r="D33" s="221"/>
      <c r="E33" s="225"/>
      <c r="F33" s="226"/>
      <c r="G33" s="227"/>
      <c r="H33" s="248"/>
      <c r="I33" s="137" t="s">
        <v>391</v>
      </c>
      <c r="J33" s="248"/>
      <c r="L33" s="141" t="s">
        <v>349</v>
      </c>
      <c r="M33" s="246">
        <v>15</v>
      </c>
      <c r="N33" s="248"/>
    </row>
    <row r="34" spans="1:14" ht="16.5">
      <c r="A34" s="140"/>
      <c r="B34" s="248"/>
      <c r="C34" s="248"/>
      <c r="D34" s="248"/>
      <c r="E34" s="248"/>
      <c r="F34" s="82">
        <v>15</v>
      </c>
      <c r="G34" s="82"/>
      <c r="H34" s="248"/>
      <c r="I34" s="248"/>
      <c r="L34" s="246" t="s">
        <v>352</v>
      </c>
      <c r="M34" s="246">
        <v>20</v>
      </c>
    </row>
    <row r="35" spans="1:14">
      <c r="A35" s="245" t="s">
        <v>120</v>
      </c>
      <c r="B35" s="245">
        <v>3.5</v>
      </c>
      <c r="L35" s="246" t="s">
        <v>353</v>
      </c>
      <c r="M35" s="246">
        <v>15</v>
      </c>
    </row>
    <row r="36" spans="1:14">
      <c r="L36" s="246" t="s">
        <v>136</v>
      </c>
      <c r="M36" s="246">
        <v>15</v>
      </c>
    </row>
    <row r="37" spans="1:14">
      <c r="L37" s="246" t="s">
        <v>354</v>
      </c>
      <c r="M37" s="246">
        <f>SUM(M31:M36)/60</f>
        <v>1.5</v>
      </c>
    </row>
    <row r="55" spans="5:5">
      <c r="E55" s="51"/>
    </row>
    <row r="56" spans="5:5">
      <c r="E56" s="51"/>
    </row>
    <row r="58" spans="5:5">
      <c r="E58" s="51"/>
    </row>
  </sheetData>
  <mergeCells count="2">
    <mergeCell ref="L16:M16"/>
    <mergeCell ref="J28:N29"/>
  </mergeCells>
  <conditionalFormatting sqref="B3:B4 B6:B33">
    <cfRule type="cellIs" dxfId="62" priority="2" operator="lessThan">
      <formula>$B$35</formula>
    </cfRule>
    <cfRule type="cellIs" dxfId="61" priority="3" operator="between">
      <formula>$B$35</formula>
      <formula>3</formula>
    </cfRule>
    <cfRule type="cellIs" dxfId="60" priority="4" operator="greaterThan">
      <formula>$B$35</formula>
    </cfRule>
  </conditionalFormatting>
  <conditionalFormatting sqref="A3:A34">
    <cfRule type="expression" dxfId="59" priority="1">
      <formula>WEEKDAY(A3,2)&gt;5</formula>
    </cfRule>
  </conditionalFormatting>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5" activePane="bottomLeft" state="frozen"/>
      <selection pane="bottomLeft" activeCell="I25" sqref="I25"/>
    </sheetView>
  </sheetViews>
  <sheetFormatPr defaultColWidth="9.140625" defaultRowHeight="15"/>
  <cols>
    <col min="1" max="1" width="8.85546875" style="265" customWidth="1"/>
    <col min="2" max="2" width="6.28515625" style="265" customWidth="1"/>
    <col min="3" max="3" width="8.42578125" style="265" customWidth="1"/>
    <col min="4" max="4" width="6.42578125" style="265" customWidth="1"/>
    <col min="5" max="5" width="6.28515625" style="265" customWidth="1"/>
    <col min="6" max="6" width="9.140625" style="265" customWidth="1"/>
    <col min="7" max="7" width="9.140625" style="265"/>
    <col min="8" max="8" width="6.42578125" style="265" customWidth="1"/>
    <col min="9" max="9" width="77.5703125" style="265" customWidth="1"/>
    <col min="10" max="10" width="61.42578125" style="265" customWidth="1"/>
    <col min="11" max="11" width="12.5703125" style="265" customWidth="1"/>
    <col min="12" max="12" width="19.85546875" style="265" bestFit="1" customWidth="1"/>
    <col min="13" max="16384" width="9.140625" style="265"/>
  </cols>
  <sheetData>
    <row r="1" spans="1:13" ht="58.5" customHeight="1" thickBot="1">
      <c r="A1" s="38" t="s">
        <v>109</v>
      </c>
      <c r="B1" s="39" t="s">
        <v>1</v>
      </c>
      <c r="C1" s="156" t="s">
        <v>328</v>
      </c>
      <c r="D1" s="156" t="s">
        <v>344</v>
      </c>
      <c r="E1" s="157" t="s">
        <v>313</v>
      </c>
      <c r="F1" s="78" t="s">
        <v>359</v>
      </c>
      <c r="G1" s="78" t="s">
        <v>7</v>
      </c>
      <c r="H1" s="77" t="s">
        <v>403</v>
      </c>
      <c r="I1" s="130" t="s">
        <v>472</v>
      </c>
      <c r="J1" s="56" t="s">
        <v>11</v>
      </c>
      <c r="K1" s="88"/>
      <c r="L1" s="89" t="s">
        <v>218</v>
      </c>
      <c r="M1" s="90">
        <f>SUM(B3:B33)</f>
        <v>31.5</v>
      </c>
    </row>
    <row r="2" spans="1:13" ht="18" thickTop="1" thickBot="1">
      <c r="B2" s="269"/>
      <c r="C2" s="167">
        <f t="shared" ref="C2:G2" si="0">SUM(C3:C33)</f>
        <v>12.75</v>
      </c>
      <c r="D2" s="167">
        <f t="shared" si="0"/>
        <v>21.5</v>
      </c>
      <c r="E2" s="52">
        <f t="shared" si="0"/>
        <v>6</v>
      </c>
      <c r="F2" s="269">
        <f t="shared" si="0"/>
        <v>18.25</v>
      </c>
      <c r="G2" s="269">
        <f t="shared" si="0"/>
        <v>25.5</v>
      </c>
      <c r="H2" s="52"/>
      <c r="I2" s="261">
        <f>SUM(E2:G2)</f>
        <v>49.75</v>
      </c>
      <c r="J2" s="269"/>
      <c r="K2" s="265" t="s">
        <v>110</v>
      </c>
      <c r="L2" s="91" t="s">
        <v>219</v>
      </c>
      <c r="M2" s="91">
        <f>SUM(M3:M4)</f>
        <v>97</v>
      </c>
    </row>
    <row r="3" spans="1:13" ht="17.25" thickTop="1">
      <c r="A3" s="140">
        <v>45839</v>
      </c>
      <c r="B3" s="166">
        <v>0</v>
      </c>
      <c r="C3" s="168"/>
      <c r="D3" s="228"/>
      <c r="E3" s="229"/>
      <c r="F3" s="237">
        <v>2</v>
      </c>
      <c r="G3" s="231">
        <v>2</v>
      </c>
      <c r="H3" s="52"/>
      <c r="I3" s="137" t="s">
        <v>494</v>
      </c>
      <c r="J3" s="57" t="s">
        <v>272</v>
      </c>
      <c r="K3" s="131" t="s">
        <v>277</v>
      </c>
      <c r="L3" s="92" t="s">
        <v>116</v>
      </c>
      <c r="M3" s="92">
        <f>SUM(C3:E33)</f>
        <v>40.25</v>
      </c>
    </row>
    <row r="4" spans="1:13" ht="19.5" customHeight="1">
      <c r="A4" s="140">
        <v>45840</v>
      </c>
      <c r="B4" s="166">
        <v>2.5</v>
      </c>
      <c r="C4" s="168"/>
      <c r="D4" s="228">
        <v>1</v>
      </c>
      <c r="E4" s="232"/>
      <c r="F4" s="223"/>
      <c r="G4" s="233"/>
      <c r="H4" s="52">
        <v>1</v>
      </c>
      <c r="I4" s="137" t="s">
        <v>496</v>
      </c>
      <c r="J4" s="251" t="s">
        <v>493</v>
      </c>
      <c r="K4" s="252"/>
      <c r="L4" s="92" t="s">
        <v>469</v>
      </c>
      <c r="M4" s="92">
        <f>SUM(F3:H34)</f>
        <v>56.75</v>
      </c>
    </row>
    <row r="5" spans="1:13" ht="16.5">
      <c r="A5" s="140">
        <v>45841</v>
      </c>
      <c r="B5" s="265">
        <v>2</v>
      </c>
      <c r="C5" s="168"/>
      <c r="D5" s="228">
        <v>4</v>
      </c>
      <c r="E5" s="232"/>
      <c r="F5" s="230">
        <v>1</v>
      </c>
      <c r="G5" s="238">
        <v>0.5</v>
      </c>
      <c r="H5" s="52">
        <v>1</v>
      </c>
      <c r="I5" s="137" t="s">
        <v>497</v>
      </c>
      <c r="J5" s="253"/>
      <c r="K5" s="254"/>
    </row>
    <row r="6" spans="1:13" ht="16.5">
      <c r="A6" s="140">
        <v>45842</v>
      </c>
      <c r="B6" s="166">
        <v>1.5</v>
      </c>
      <c r="C6" s="168"/>
      <c r="D6" s="229">
        <v>1</v>
      </c>
      <c r="E6" s="232"/>
      <c r="F6" s="223"/>
      <c r="G6" s="233"/>
      <c r="H6" s="52"/>
      <c r="I6" s="137" t="s">
        <v>498</v>
      </c>
      <c r="J6" s="251" t="s">
        <v>482</v>
      </c>
      <c r="K6" s="252">
        <v>0.25</v>
      </c>
      <c r="L6" s="54" t="s">
        <v>129</v>
      </c>
      <c r="M6" s="54" t="s">
        <v>132</v>
      </c>
    </row>
    <row r="7" spans="1:13" ht="16.5">
      <c r="A7" s="140">
        <v>45843</v>
      </c>
      <c r="B7" s="166">
        <v>0</v>
      </c>
      <c r="C7" s="168"/>
      <c r="D7" s="215">
        <v>4</v>
      </c>
      <c r="E7" s="232"/>
      <c r="F7" s="223"/>
      <c r="G7" s="233">
        <v>5</v>
      </c>
      <c r="H7" s="52"/>
      <c r="I7" s="137" t="s">
        <v>501</v>
      </c>
      <c r="J7" s="264" t="s">
        <v>518</v>
      </c>
      <c r="K7" s="252">
        <v>8.5</v>
      </c>
      <c r="L7" s="107" t="s">
        <v>475</v>
      </c>
      <c r="M7" s="108" t="s">
        <v>398</v>
      </c>
    </row>
    <row r="8" spans="1:13" ht="16.5">
      <c r="A8" s="140">
        <v>45844</v>
      </c>
      <c r="B8" s="166">
        <v>0</v>
      </c>
      <c r="C8" s="168"/>
      <c r="D8" s="215">
        <v>3</v>
      </c>
      <c r="E8" s="232"/>
      <c r="F8" s="223"/>
      <c r="G8" s="233">
        <v>10</v>
      </c>
      <c r="H8" s="52"/>
      <c r="I8" s="137" t="s">
        <v>502</v>
      </c>
      <c r="J8" s="255" t="s">
        <v>387</v>
      </c>
      <c r="K8" s="252">
        <v>6</v>
      </c>
      <c r="L8" s="119"/>
      <c r="M8" s="119"/>
    </row>
    <row r="9" spans="1:13" ht="16.5">
      <c r="A9" s="140">
        <v>45845</v>
      </c>
      <c r="B9" s="166"/>
      <c r="C9" s="168"/>
      <c r="D9" s="215">
        <v>0.75</v>
      </c>
      <c r="E9" s="232"/>
      <c r="F9" s="223">
        <v>0.25</v>
      </c>
      <c r="G9" s="233"/>
      <c r="H9" s="52">
        <v>2</v>
      </c>
      <c r="I9" s="137" t="s">
        <v>499</v>
      </c>
      <c r="J9" s="260" t="s">
        <v>521</v>
      </c>
      <c r="K9" s="252">
        <v>3.5</v>
      </c>
      <c r="L9" s="108" t="s">
        <v>275</v>
      </c>
      <c r="M9" s="108" t="s">
        <v>156</v>
      </c>
    </row>
    <row r="10" spans="1:13" ht="16.5">
      <c r="A10" s="140">
        <v>45846</v>
      </c>
      <c r="B10" s="166"/>
      <c r="C10" s="168"/>
      <c r="D10" s="215"/>
      <c r="E10" s="232"/>
      <c r="F10" s="223"/>
      <c r="G10" s="233"/>
      <c r="H10" s="269"/>
      <c r="I10" s="137"/>
      <c r="J10" s="252"/>
      <c r="K10" s="252"/>
      <c r="L10" s="148" t="s">
        <v>399</v>
      </c>
      <c r="M10" s="119">
        <v>3</v>
      </c>
    </row>
    <row r="11" spans="1:13" ht="16.5">
      <c r="A11" s="140">
        <v>45847</v>
      </c>
      <c r="B11" s="166"/>
      <c r="C11" s="168"/>
      <c r="D11" s="232">
        <v>3</v>
      </c>
      <c r="F11" s="223"/>
      <c r="G11" s="233"/>
      <c r="H11" s="269"/>
      <c r="I11" s="137" t="s">
        <v>506</v>
      </c>
      <c r="J11" s="251"/>
      <c r="K11" s="252"/>
      <c r="L11" s="265" t="s">
        <v>400</v>
      </c>
    </row>
    <row r="12" spans="1:13" ht="16.5">
      <c r="A12" s="140">
        <v>45848</v>
      </c>
      <c r="B12" s="166">
        <v>1</v>
      </c>
      <c r="C12" s="168"/>
      <c r="D12" s="215"/>
      <c r="E12" s="239"/>
      <c r="F12" s="223">
        <v>1.5</v>
      </c>
      <c r="G12" s="233">
        <v>1.5</v>
      </c>
      <c r="H12" s="269"/>
      <c r="I12" s="137" t="s">
        <v>505</v>
      </c>
      <c r="J12" s="252"/>
      <c r="K12" s="252"/>
      <c r="L12" s="120" t="s">
        <v>401</v>
      </c>
      <c r="M12" s="120" t="s">
        <v>79</v>
      </c>
    </row>
    <row r="13" spans="1:13" ht="16.5">
      <c r="A13" s="140">
        <v>45849</v>
      </c>
      <c r="B13" s="166">
        <v>2</v>
      </c>
      <c r="C13" s="168">
        <v>0.5</v>
      </c>
      <c r="D13" s="215"/>
      <c r="E13" s="232">
        <v>0.5</v>
      </c>
      <c r="F13" s="223">
        <v>0.5</v>
      </c>
      <c r="G13" s="233"/>
      <c r="H13" s="269">
        <v>1.5</v>
      </c>
      <c r="I13" s="137" t="s">
        <v>508</v>
      </c>
      <c r="J13" s="259" t="s">
        <v>519</v>
      </c>
      <c r="K13" s="252">
        <v>4.5</v>
      </c>
      <c r="L13" s="120" t="s">
        <v>278</v>
      </c>
      <c r="M13" s="120" t="s">
        <v>402</v>
      </c>
    </row>
    <row r="14" spans="1:13" ht="18" customHeight="1">
      <c r="A14" s="140">
        <v>45850</v>
      </c>
      <c r="B14" s="166"/>
      <c r="C14" s="168">
        <v>5</v>
      </c>
      <c r="D14" s="215">
        <v>1</v>
      </c>
      <c r="E14" s="234">
        <v>3.5</v>
      </c>
      <c r="F14" s="235">
        <v>1</v>
      </c>
      <c r="G14" s="236">
        <v>1.5</v>
      </c>
      <c r="H14" s="269"/>
      <c r="I14" s="137" t="s">
        <v>509</v>
      </c>
      <c r="J14" s="259" t="s">
        <v>514</v>
      </c>
      <c r="K14" s="252">
        <v>11</v>
      </c>
      <c r="L14" s="120" t="s">
        <v>275</v>
      </c>
      <c r="M14" s="120" t="s">
        <v>307</v>
      </c>
    </row>
    <row r="15" spans="1:13" ht="16.5">
      <c r="A15" s="140">
        <v>45851</v>
      </c>
      <c r="B15" s="166">
        <v>5.5</v>
      </c>
      <c r="C15" s="168">
        <v>1.25</v>
      </c>
      <c r="D15" s="215"/>
      <c r="E15" s="222">
        <v>1</v>
      </c>
      <c r="F15" s="223">
        <v>3</v>
      </c>
      <c r="G15" s="224"/>
      <c r="H15" s="269"/>
      <c r="I15" s="137" t="s">
        <v>510</v>
      </c>
      <c r="J15" s="259" t="s">
        <v>500</v>
      </c>
      <c r="K15" s="252">
        <v>12</v>
      </c>
      <c r="L15" s="120"/>
      <c r="M15" s="120"/>
    </row>
    <row r="16" spans="1:13" ht="16.5">
      <c r="A16" s="140">
        <v>45852</v>
      </c>
      <c r="B16" s="166">
        <v>3</v>
      </c>
      <c r="C16" s="168">
        <v>0.5</v>
      </c>
      <c r="D16" s="216"/>
      <c r="E16" s="222"/>
      <c r="F16" s="223">
        <v>1</v>
      </c>
      <c r="G16" s="224"/>
      <c r="H16" s="269"/>
      <c r="I16" s="137"/>
      <c r="J16" s="259" t="s">
        <v>503</v>
      </c>
      <c r="K16" s="252">
        <v>1</v>
      </c>
      <c r="L16" s="405" t="s">
        <v>365</v>
      </c>
      <c r="M16" s="406"/>
    </row>
    <row r="17" spans="1:14" ht="16.5">
      <c r="A17" s="140">
        <v>45853</v>
      </c>
      <c r="B17" s="166">
        <v>1.5</v>
      </c>
      <c r="C17" s="168">
        <v>0.5</v>
      </c>
      <c r="D17" s="217"/>
      <c r="E17" s="222"/>
      <c r="F17" s="223">
        <v>1</v>
      </c>
      <c r="G17" s="224"/>
      <c r="H17" s="269"/>
      <c r="I17" s="262" t="s">
        <v>511</v>
      </c>
      <c r="J17" s="260" t="s">
        <v>504</v>
      </c>
      <c r="K17" s="252">
        <v>0.5</v>
      </c>
    </row>
    <row r="18" spans="1:14" ht="16.5">
      <c r="A18" s="140">
        <v>45854</v>
      </c>
      <c r="B18" s="166">
        <v>1.5</v>
      </c>
      <c r="C18" s="168"/>
      <c r="D18" s="215">
        <v>0.25</v>
      </c>
      <c r="E18" s="222"/>
      <c r="F18" s="223">
        <v>1.75</v>
      </c>
      <c r="G18" s="224"/>
      <c r="H18" s="269"/>
      <c r="I18" s="263" t="s">
        <v>512</v>
      </c>
      <c r="J18" s="251" t="s">
        <v>465</v>
      </c>
      <c r="K18" s="252"/>
      <c r="L18" s="147" t="s">
        <v>367</v>
      </c>
      <c r="M18" s="265">
        <v>1</v>
      </c>
    </row>
    <row r="19" spans="1:14" ht="16.5">
      <c r="A19" s="140">
        <v>45855</v>
      </c>
      <c r="B19" s="166">
        <v>3</v>
      </c>
      <c r="C19" s="168"/>
      <c r="D19" s="215">
        <v>0.5</v>
      </c>
      <c r="E19" s="222"/>
      <c r="F19" s="223">
        <v>1.25</v>
      </c>
      <c r="G19" s="224"/>
      <c r="H19" s="269"/>
      <c r="I19" s="262"/>
      <c r="J19" s="260" t="s">
        <v>517</v>
      </c>
      <c r="K19" s="256">
        <v>0.5</v>
      </c>
      <c r="L19" s="267" t="s">
        <v>368</v>
      </c>
      <c r="M19" s="267">
        <v>0.5</v>
      </c>
      <c r="N19" s="267"/>
    </row>
    <row r="20" spans="1:14" ht="16.5">
      <c r="A20" s="140">
        <v>45856</v>
      </c>
      <c r="B20" s="166">
        <v>2</v>
      </c>
      <c r="C20" s="168">
        <v>0.5</v>
      </c>
      <c r="D20" s="218"/>
      <c r="E20" s="222"/>
      <c r="F20" s="223"/>
      <c r="G20" s="224"/>
      <c r="H20" s="269"/>
      <c r="I20" s="137"/>
      <c r="J20" s="251" t="s">
        <v>375</v>
      </c>
      <c r="K20" s="252"/>
      <c r="L20" s="267"/>
      <c r="M20" s="267"/>
      <c r="N20" s="267"/>
    </row>
    <row r="21" spans="1:14" ht="16.5">
      <c r="A21" s="140">
        <v>45857</v>
      </c>
      <c r="B21" s="166">
        <v>1</v>
      </c>
      <c r="C21" s="168">
        <v>3</v>
      </c>
      <c r="D21" s="215">
        <v>1.5</v>
      </c>
      <c r="E21" s="222"/>
      <c r="F21" s="223">
        <v>1</v>
      </c>
      <c r="G21" s="224">
        <v>0.5</v>
      </c>
      <c r="H21" s="269"/>
      <c r="I21" s="137" t="s">
        <v>513</v>
      </c>
      <c r="J21" s="257" t="s">
        <v>280</v>
      </c>
      <c r="K21" s="254">
        <v>0.5</v>
      </c>
      <c r="L21" s="267"/>
      <c r="M21" s="266"/>
      <c r="N21" s="266"/>
    </row>
    <row r="22" spans="1:14" ht="16.5">
      <c r="A22" s="140">
        <v>45858</v>
      </c>
      <c r="B22" s="166">
        <v>2</v>
      </c>
      <c r="C22" s="168">
        <v>1.5</v>
      </c>
      <c r="D22" s="215"/>
      <c r="E22" s="222">
        <v>1</v>
      </c>
      <c r="F22" s="223"/>
      <c r="G22" s="224">
        <v>4</v>
      </c>
      <c r="H22" s="269"/>
      <c r="I22" s="137" t="s">
        <v>515</v>
      </c>
      <c r="J22" s="258" t="s">
        <v>507</v>
      </c>
      <c r="K22" s="256">
        <v>1.5</v>
      </c>
      <c r="L22" s="266" t="s">
        <v>120</v>
      </c>
      <c r="M22" s="266"/>
      <c r="N22" s="266"/>
    </row>
    <row r="23" spans="1:14" ht="16.5">
      <c r="A23" s="140">
        <v>45859</v>
      </c>
      <c r="B23" s="166"/>
      <c r="C23" s="168"/>
      <c r="D23" s="215"/>
      <c r="E23" s="222"/>
      <c r="F23" s="223">
        <v>3</v>
      </c>
      <c r="G23" s="224">
        <v>0.5</v>
      </c>
      <c r="H23" s="269"/>
      <c r="I23" s="137" t="s">
        <v>516</v>
      </c>
      <c r="J23" s="253" t="s">
        <v>356</v>
      </c>
      <c r="K23" s="254"/>
      <c r="L23" s="266" t="s">
        <v>380</v>
      </c>
      <c r="M23" s="266"/>
      <c r="N23" s="266"/>
    </row>
    <row r="24" spans="1:14" ht="16.5">
      <c r="A24" s="140">
        <v>45860</v>
      </c>
      <c r="B24" s="166"/>
      <c r="C24" s="168"/>
      <c r="D24" s="215"/>
      <c r="E24" s="222"/>
      <c r="F24" s="223"/>
      <c r="G24" s="224"/>
      <c r="H24" s="269"/>
      <c r="I24" s="137" t="s">
        <v>525</v>
      </c>
      <c r="J24" s="253" t="s">
        <v>492</v>
      </c>
      <c r="K24" s="254"/>
      <c r="L24" s="266"/>
    </row>
    <row r="25" spans="1:14" ht="16.5">
      <c r="A25" s="140">
        <v>45861</v>
      </c>
      <c r="B25" s="166"/>
      <c r="C25" s="168"/>
      <c r="D25" s="215"/>
      <c r="E25" s="222"/>
      <c r="F25" s="223"/>
      <c r="G25" s="224"/>
      <c r="I25" s="137" t="s">
        <v>522</v>
      </c>
      <c r="J25" s="249" t="s">
        <v>495</v>
      </c>
      <c r="K25" s="250">
        <f>SUM(K4:K24)</f>
        <v>49.75</v>
      </c>
    </row>
    <row r="26" spans="1:14" ht="16.5">
      <c r="A26" s="140">
        <v>45862</v>
      </c>
      <c r="B26" s="166"/>
      <c r="C26" s="168"/>
      <c r="D26" s="215"/>
      <c r="E26" s="222"/>
      <c r="F26" s="223"/>
      <c r="G26" s="224"/>
      <c r="H26" s="269"/>
      <c r="I26" s="137" t="s">
        <v>522</v>
      </c>
      <c r="J26" s="55"/>
      <c r="K26" s="48"/>
    </row>
    <row r="27" spans="1:14" ht="16.5">
      <c r="A27" s="140">
        <v>45863</v>
      </c>
      <c r="B27" s="166"/>
      <c r="C27" s="168"/>
      <c r="D27" s="219"/>
      <c r="E27" s="222"/>
      <c r="F27" s="223"/>
      <c r="G27" s="224"/>
      <c r="H27" s="269"/>
      <c r="I27" s="137" t="s">
        <v>524</v>
      </c>
      <c r="J27" s="269" t="s">
        <v>311</v>
      </c>
    </row>
    <row r="28" spans="1:14" ht="42" customHeight="1">
      <c r="A28" s="140">
        <v>45864</v>
      </c>
      <c r="B28" s="166"/>
      <c r="C28" s="168"/>
      <c r="D28" s="220"/>
      <c r="E28" s="222"/>
      <c r="F28" s="223"/>
      <c r="G28" s="224"/>
      <c r="H28" s="269"/>
      <c r="I28" s="137" t="s">
        <v>523</v>
      </c>
      <c r="J28" s="408" t="s">
        <v>520</v>
      </c>
      <c r="K28" s="408"/>
      <c r="L28" s="408"/>
      <c r="M28" s="408"/>
      <c r="N28" s="408"/>
    </row>
    <row r="29" spans="1:14" ht="27" customHeight="1">
      <c r="A29" s="140">
        <v>45865</v>
      </c>
      <c r="B29" s="166"/>
      <c r="C29" s="168"/>
      <c r="D29" s="215"/>
      <c r="E29" s="222"/>
      <c r="F29" s="223"/>
      <c r="G29" s="224"/>
      <c r="H29" s="269"/>
      <c r="I29" s="137" t="s">
        <v>523</v>
      </c>
      <c r="J29" s="408"/>
      <c r="K29" s="408"/>
      <c r="L29" s="408"/>
      <c r="M29" s="408"/>
      <c r="N29" s="408"/>
    </row>
    <row r="30" spans="1:14" ht="31.5" customHeight="1">
      <c r="A30" s="140">
        <v>45866</v>
      </c>
      <c r="B30" s="166"/>
      <c r="C30" s="168"/>
      <c r="D30" s="215"/>
      <c r="E30" s="222"/>
      <c r="F30" s="223"/>
      <c r="G30" s="224"/>
      <c r="H30" s="269"/>
      <c r="I30" s="137"/>
      <c r="J30" s="265" t="s">
        <v>320</v>
      </c>
    </row>
    <row r="31" spans="1:14" ht="16.5">
      <c r="A31" s="140">
        <v>45867</v>
      </c>
      <c r="B31" s="166"/>
      <c r="C31" s="168"/>
      <c r="D31" s="215"/>
      <c r="E31" s="222"/>
      <c r="F31" s="223"/>
      <c r="G31" s="224"/>
      <c r="H31" s="269"/>
      <c r="I31" s="137"/>
      <c r="L31" s="268" t="s">
        <v>350</v>
      </c>
      <c r="M31" s="268">
        <v>10</v>
      </c>
    </row>
    <row r="32" spans="1:14" ht="16.5">
      <c r="A32" s="140">
        <v>45868</v>
      </c>
      <c r="B32" s="166">
        <v>0.5</v>
      </c>
      <c r="C32" s="168"/>
      <c r="D32" s="215">
        <v>1</v>
      </c>
      <c r="E32" s="222"/>
      <c r="F32" s="223"/>
      <c r="G32" s="224"/>
      <c r="H32" s="269"/>
      <c r="I32" s="137"/>
      <c r="L32" s="268" t="s">
        <v>351</v>
      </c>
      <c r="M32" s="268">
        <v>15</v>
      </c>
    </row>
    <row r="33" spans="1:14" ht="16.5">
      <c r="A33" s="140">
        <v>45869</v>
      </c>
      <c r="B33" s="166">
        <v>2.5</v>
      </c>
      <c r="C33" s="169"/>
      <c r="D33" s="221">
        <v>0.5</v>
      </c>
      <c r="E33" s="225"/>
      <c r="F33" s="226"/>
      <c r="G33" s="227"/>
      <c r="H33" s="269"/>
      <c r="I33" s="137"/>
      <c r="J33" s="269"/>
      <c r="L33" s="141" t="s">
        <v>349</v>
      </c>
      <c r="M33" s="268">
        <v>15</v>
      </c>
      <c r="N33" s="269"/>
    </row>
    <row r="34" spans="1:14" ht="16.5">
      <c r="A34" s="140"/>
      <c r="B34" s="269"/>
      <c r="C34" s="269"/>
      <c r="D34" s="269"/>
      <c r="E34" s="269"/>
      <c r="F34" s="82"/>
      <c r="G34" s="82">
        <v>7.5</v>
      </c>
      <c r="H34" s="269"/>
      <c r="I34" s="269"/>
      <c r="L34" s="268" t="s">
        <v>352</v>
      </c>
      <c r="M34" s="268">
        <v>20</v>
      </c>
    </row>
    <row r="35" spans="1:14">
      <c r="A35" s="265" t="s">
        <v>120</v>
      </c>
      <c r="B35" s="265">
        <v>3</v>
      </c>
      <c r="L35" s="268" t="s">
        <v>353</v>
      </c>
      <c r="M35" s="268">
        <v>15</v>
      </c>
    </row>
    <row r="36" spans="1:14">
      <c r="L36" s="268" t="s">
        <v>136</v>
      </c>
      <c r="M36" s="268">
        <v>15</v>
      </c>
    </row>
    <row r="37" spans="1:14">
      <c r="L37" s="268" t="s">
        <v>354</v>
      </c>
      <c r="M37" s="268">
        <f>SUM(M31:M36)/60</f>
        <v>1.5</v>
      </c>
    </row>
    <row r="55" spans="5:5">
      <c r="E55" s="51"/>
    </row>
    <row r="56" spans="5:5">
      <c r="E56" s="51"/>
    </row>
    <row r="58" spans="5:5">
      <c r="E58" s="51"/>
    </row>
  </sheetData>
  <mergeCells count="2">
    <mergeCell ref="L16:M16"/>
    <mergeCell ref="J28:N29"/>
  </mergeCells>
  <conditionalFormatting sqref="B3:B4 B6:B33">
    <cfRule type="cellIs" dxfId="53" priority="2" operator="lessThan">
      <formula>$B$35</formula>
    </cfRule>
    <cfRule type="cellIs" dxfId="52" priority="3" operator="between">
      <formula>$B$35</formula>
      <formula>3</formula>
    </cfRule>
    <cfRule type="cellIs" dxfId="51" priority="4" operator="greaterThan">
      <formula>$B$35</formula>
    </cfRule>
  </conditionalFormatting>
  <conditionalFormatting sqref="A3:A34">
    <cfRule type="expression" dxfId="50" priority="1">
      <formula>WEEKDAY(A3,2)&gt;5</formula>
    </cfRule>
  </conditionalFormatting>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8"/>
  <sheetViews>
    <sheetView zoomScaleNormal="100" workbookViewId="0">
      <pane ySplit="1" topLeftCell="A2" activePane="bottomLeft" state="frozen"/>
      <selection pane="bottomLeft" activeCell="J16" sqref="J16"/>
    </sheetView>
  </sheetViews>
  <sheetFormatPr defaultColWidth="9.140625" defaultRowHeight="15"/>
  <cols>
    <col min="1" max="1" width="8.85546875" style="281" customWidth="1"/>
    <col min="2" max="2" width="6.28515625" style="281" customWidth="1"/>
    <col min="3" max="3" width="8.42578125" style="281" customWidth="1"/>
    <col min="4" max="4" width="6.42578125" style="281" customWidth="1"/>
    <col min="5" max="5" width="6.28515625" style="281" customWidth="1"/>
    <col min="6" max="6" width="9.140625" style="281" customWidth="1"/>
    <col min="7" max="7" width="9.140625" style="281"/>
    <col min="8" max="8" width="6.42578125" style="281" customWidth="1"/>
    <col min="9" max="9" width="77.5703125" style="281" customWidth="1"/>
    <col min="10" max="10" width="61.42578125" style="281" customWidth="1"/>
    <col min="11" max="11" width="12.5703125" style="281" customWidth="1"/>
    <col min="12" max="12" width="19.85546875" style="281" bestFit="1" customWidth="1"/>
    <col min="13" max="16384" width="9.140625" style="281"/>
  </cols>
  <sheetData>
    <row r="1" spans="1:14" ht="58.5" customHeight="1" thickBot="1">
      <c r="A1" s="38" t="s">
        <v>109</v>
      </c>
      <c r="B1" s="39" t="s">
        <v>1</v>
      </c>
      <c r="C1" s="156" t="s">
        <v>328</v>
      </c>
      <c r="D1" s="156" t="s">
        <v>344</v>
      </c>
      <c r="E1" s="157" t="s">
        <v>313</v>
      </c>
      <c r="F1" s="78" t="s">
        <v>359</v>
      </c>
      <c r="G1" s="78" t="s">
        <v>7</v>
      </c>
      <c r="H1" s="77" t="s">
        <v>403</v>
      </c>
      <c r="I1" s="130" t="s">
        <v>472</v>
      </c>
      <c r="J1" s="56" t="s">
        <v>11</v>
      </c>
      <c r="K1" s="88"/>
      <c r="L1" s="89" t="s">
        <v>218</v>
      </c>
      <c r="M1" s="90">
        <f>SUM(B3:B33)</f>
        <v>16</v>
      </c>
      <c r="N1" s="281" t="s">
        <v>537</v>
      </c>
    </row>
    <row r="2" spans="1:14" ht="18" thickTop="1" thickBot="1">
      <c r="B2" s="285">
        <f>SUM(B3:B33)</f>
        <v>16</v>
      </c>
      <c r="C2" s="167">
        <f t="shared" ref="C2:G2" si="0">SUM(C3:C33)</f>
        <v>9</v>
      </c>
      <c r="D2" s="167">
        <f t="shared" si="0"/>
        <v>5</v>
      </c>
      <c r="E2" s="52">
        <f t="shared" si="0"/>
        <v>13.75</v>
      </c>
      <c r="F2" s="285">
        <f t="shared" si="0"/>
        <v>17.5</v>
      </c>
      <c r="G2" s="285">
        <f t="shared" si="0"/>
        <v>16.75</v>
      </c>
      <c r="H2" s="52">
        <f>SUM(H3:H33)</f>
        <v>3.5</v>
      </c>
      <c r="I2" s="261">
        <f>SUM(E2:G2)</f>
        <v>48</v>
      </c>
      <c r="J2" s="285"/>
      <c r="K2" s="281" t="s">
        <v>110</v>
      </c>
      <c r="L2" s="91" t="s">
        <v>219</v>
      </c>
      <c r="M2" s="91">
        <f>SUM(M3:M4)</f>
        <v>73</v>
      </c>
      <c r="N2" s="281">
        <v>5</v>
      </c>
    </row>
    <row r="3" spans="1:14" ht="17.25" thickTop="1">
      <c r="A3" s="140">
        <v>45870</v>
      </c>
      <c r="B3" s="166"/>
      <c r="C3" s="168">
        <v>4</v>
      </c>
      <c r="D3" s="228">
        <v>0.5</v>
      </c>
      <c r="E3" s="229">
        <v>0.5</v>
      </c>
      <c r="F3" s="237">
        <v>0.5</v>
      </c>
      <c r="G3" s="231">
        <v>5</v>
      </c>
      <c r="H3" s="52"/>
      <c r="I3" s="137" t="s">
        <v>528</v>
      </c>
      <c r="J3" s="57" t="s">
        <v>272</v>
      </c>
      <c r="K3" s="131" t="s">
        <v>277</v>
      </c>
      <c r="L3" s="92" t="s">
        <v>116</v>
      </c>
      <c r="M3" s="92">
        <f>SUM(C3:E33)</f>
        <v>27.75</v>
      </c>
    </row>
    <row r="4" spans="1:14" ht="19.5" customHeight="1">
      <c r="A4" s="140">
        <v>45871</v>
      </c>
      <c r="B4" s="166"/>
      <c r="C4" s="168"/>
      <c r="D4" s="228"/>
      <c r="E4" s="232"/>
      <c r="F4" s="223"/>
      <c r="G4" s="233"/>
      <c r="H4" s="52"/>
      <c r="I4" s="137"/>
      <c r="J4" s="270" t="s">
        <v>493</v>
      </c>
      <c r="K4" s="271"/>
      <c r="L4" s="92" t="s">
        <v>469</v>
      </c>
      <c r="M4" s="92">
        <f>SUM(F3:H34)</f>
        <v>45.25</v>
      </c>
    </row>
    <row r="5" spans="1:14" ht="16.5">
      <c r="A5" s="140">
        <v>45872</v>
      </c>
      <c r="C5" s="168"/>
      <c r="D5" s="228"/>
      <c r="E5" s="232"/>
      <c r="F5" s="230"/>
      <c r="G5" s="238"/>
      <c r="H5" s="52"/>
      <c r="I5" s="137"/>
      <c r="J5" s="272"/>
      <c r="K5" s="273"/>
    </row>
    <row r="6" spans="1:14" ht="16.5">
      <c r="A6" s="140">
        <v>45873</v>
      </c>
      <c r="B6" s="166"/>
      <c r="C6" s="168"/>
      <c r="D6" s="229"/>
      <c r="E6" s="232"/>
      <c r="F6" s="223"/>
      <c r="G6" s="233"/>
      <c r="H6" s="52"/>
      <c r="I6" s="137"/>
      <c r="J6" s="279" t="s">
        <v>546</v>
      </c>
      <c r="K6" s="271">
        <v>4.5</v>
      </c>
      <c r="L6" s="54" t="s">
        <v>129</v>
      </c>
      <c r="M6" s="54" t="s">
        <v>132</v>
      </c>
    </row>
    <row r="7" spans="1:14" ht="16.5">
      <c r="A7" s="140">
        <v>45874</v>
      </c>
      <c r="B7" s="166"/>
      <c r="C7" s="168"/>
      <c r="D7" s="215"/>
      <c r="E7" s="232"/>
      <c r="F7" s="223">
        <v>2</v>
      </c>
      <c r="G7" s="233">
        <v>0.5</v>
      </c>
      <c r="H7" s="52"/>
      <c r="I7" s="137" t="s">
        <v>530</v>
      </c>
      <c r="J7" s="274" t="s">
        <v>540</v>
      </c>
      <c r="K7" s="271">
        <v>9.5</v>
      </c>
      <c r="L7" s="107" t="s">
        <v>475</v>
      </c>
      <c r="M7" s="108" t="s">
        <v>398</v>
      </c>
    </row>
    <row r="8" spans="1:14" ht="16.5">
      <c r="A8" s="140">
        <v>45875</v>
      </c>
      <c r="B8" s="166"/>
      <c r="C8" s="168"/>
      <c r="D8" s="215"/>
      <c r="E8" s="232"/>
      <c r="F8" s="223"/>
      <c r="G8" s="233"/>
      <c r="H8" s="52"/>
      <c r="I8" s="137"/>
      <c r="J8" s="275" t="s">
        <v>387</v>
      </c>
      <c r="K8" s="271">
        <v>3.5</v>
      </c>
      <c r="L8" s="119"/>
      <c r="M8" s="119"/>
    </row>
    <row r="9" spans="1:14" ht="16.5">
      <c r="A9" s="140">
        <v>45876</v>
      </c>
      <c r="B9" s="166"/>
      <c r="C9" s="168"/>
      <c r="D9" s="215"/>
      <c r="E9" s="232"/>
      <c r="F9" s="223"/>
      <c r="G9" s="233">
        <v>3</v>
      </c>
      <c r="H9" s="52"/>
      <c r="I9" s="137" t="s">
        <v>532</v>
      </c>
      <c r="J9" s="277" t="s">
        <v>543</v>
      </c>
      <c r="K9" s="271">
        <v>0.5</v>
      </c>
      <c r="L9" s="108" t="s">
        <v>275</v>
      </c>
      <c r="M9" s="108" t="s">
        <v>156</v>
      </c>
    </row>
    <row r="10" spans="1:14" ht="16.5">
      <c r="A10" s="140">
        <v>45877</v>
      </c>
      <c r="B10" s="166"/>
      <c r="C10" s="168"/>
      <c r="D10" s="215"/>
      <c r="E10" s="232"/>
      <c r="F10" s="223"/>
      <c r="G10" s="233"/>
      <c r="H10" s="285"/>
      <c r="I10" s="137"/>
      <c r="J10" s="271" t="s">
        <v>541</v>
      </c>
      <c r="K10" s="271">
        <v>1</v>
      </c>
      <c r="L10" s="148" t="s">
        <v>399</v>
      </c>
      <c r="M10" s="119">
        <v>3</v>
      </c>
    </row>
    <row r="11" spans="1:14" ht="16.5">
      <c r="A11" s="140">
        <v>45878</v>
      </c>
      <c r="B11" s="166"/>
      <c r="C11" s="168"/>
      <c r="D11" s="232"/>
      <c r="E11" s="281">
        <v>2.5</v>
      </c>
      <c r="F11" s="223">
        <v>3</v>
      </c>
      <c r="G11" s="233"/>
      <c r="H11" s="285"/>
      <c r="I11" s="137" t="s">
        <v>531</v>
      </c>
      <c r="J11" s="270" t="s">
        <v>330</v>
      </c>
      <c r="K11" s="271">
        <v>1.5</v>
      </c>
      <c r="L11" s="281" t="s">
        <v>400</v>
      </c>
    </row>
    <row r="12" spans="1:14" ht="16.5">
      <c r="A12" s="140">
        <v>45879</v>
      </c>
      <c r="B12" s="166"/>
      <c r="C12" s="168"/>
      <c r="D12" s="215"/>
      <c r="E12" s="239"/>
      <c r="F12" s="223"/>
      <c r="G12" s="233"/>
      <c r="H12" s="285"/>
      <c r="I12" s="137"/>
      <c r="J12" s="271" t="s">
        <v>529</v>
      </c>
      <c r="K12" s="271">
        <v>0.5</v>
      </c>
      <c r="L12" s="120" t="s">
        <v>401</v>
      </c>
      <c r="M12" s="120" t="s">
        <v>79</v>
      </c>
    </row>
    <row r="13" spans="1:14" ht="16.5">
      <c r="A13" s="140">
        <v>45880</v>
      </c>
      <c r="B13" s="166"/>
      <c r="C13" s="168"/>
      <c r="D13" s="215"/>
      <c r="E13" s="232"/>
      <c r="F13" s="223"/>
      <c r="G13" s="233"/>
      <c r="H13" s="285"/>
      <c r="I13" s="137"/>
      <c r="J13" s="270"/>
      <c r="K13" s="271"/>
      <c r="L13" s="120" t="s">
        <v>278</v>
      </c>
      <c r="M13" s="120" t="s">
        <v>402</v>
      </c>
    </row>
    <row r="14" spans="1:14" ht="18" customHeight="1">
      <c r="A14" s="140">
        <v>45881</v>
      </c>
      <c r="B14" s="166"/>
      <c r="C14" s="168"/>
      <c r="D14" s="215"/>
      <c r="E14" s="234"/>
      <c r="F14" s="235"/>
      <c r="G14" s="236"/>
      <c r="H14" s="285"/>
      <c r="I14" s="137"/>
      <c r="J14" s="270" t="s">
        <v>526</v>
      </c>
      <c r="K14" s="271">
        <v>6.5</v>
      </c>
      <c r="L14" s="120" t="s">
        <v>275</v>
      </c>
      <c r="M14" s="120" t="s">
        <v>307</v>
      </c>
    </row>
    <row r="15" spans="1:14" ht="16.5">
      <c r="A15" s="140">
        <v>45882</v>
      </c>
      <c r="B15" s="166"/>
      <c r="C15" s="168"/>
      <c r="D15" s="215"/>
      <c r="E15" s="222"/>
      <c r="F15" s="223"/>
      <c r="G15" s="224"/>
      <c r="H15" s="285"/>
      <c r="I15" s="137"/>
      <c r="J15" s="270"/>
      <c r="K15" s="271"/>
      <c r="L15" s="120"/>
      <c r="M15" s="120"/>
    </row>
    <row r="16" spans="1:14" ht="16.5">
      <c r="A16" s="140">
        <v>45883</v>
      </c>
      <c r="B16" s="166"/>
      <c r="C16" s="168"/>
      <c r="D16" s="216"/>
      <c r="E16" s="222"/>
      <c r="F16" s="223"/>
      <c r="G16" s="224"/>
      <c r="H16" s="285"/>
      <c r="I16" s="137"/>
      <c r="J16" s="270"/>
      <c r="K16" s="271"/>
      <c r="L16" s="405" t="s">
        <v>365</v>
      </c>
      <c r="M16" s="406"/>
    </row>
    <row r="17" spans="1:14" ht="16.5">
      <c r="A17" s="140">
        <v>45884</v>
      </c>
      <c r="B17" s="166"/>
      <c r="C17" s="168"/>
      <c r="D17" s="217"/>
      <c r="E17" s="222"/>
      <c r="F17" s="223"/>
      <c r="G17" s="224"/>
      <c r="H17" s="285"/>
      <c r="I17" s="262"/>
      <c r="J17" s="271"/>
      <c r="K17" s="271"/>
    </row>
    <row r="18" spans="1:14" ht="16.5">
      <c r="A18" s="140">
        <v>45885</v>
      </c>
      <c r="B18" s="166"/>
      <c r="C18" s="168"/>
      <c r="D18" s="215"/>
      <c r="E18" s="222"/>
      <c r="F18" s="223"/>
      <c r="G18" s="224"/>
      <c r="H18" s="285"/>
      <c r="I18" s="263"/>
      <c r="J18" s="270" t="s">
        <v>539</v>
      </c>
      <c r="K18" s="271">
        <v>1.75</v>
      </c>
      <c r="L18" s="147" t="s">
        <v>367</v>
      </c>
      <c r="M18" s="281">
        <v>1</v>
      </c>
    </row>
    <row r="19" spans="1:14" ht="16.5">
      <c r="A19" s="140">
        <v>45886</v>
      </c>
      <c r="B19" s="166"/>
      <c r="C19" s="168"/>
      <c r="D19" s="215"/>
      <c r="E19" s="222"/>
      <c r="F19" s="223"/>
      <c r="G19" s="224"/>
      <c r="H19" s="285"/>
      <c r="I19" s="262"/>
      <c r="J19" s="271" t="s">
        <v>527</v>
      </c>
      <c r="K19" s="276">
        <v>4</v>
      </c>
      <c r="L19" s="283" t="s">
        <v>368</v>
      </c>
      <c r="M19" s="283">
        <v>0.5</v>
      </c>
      <c r="N19" s="283"/>
    </row>
    <row r="20" spans="1:14" ht="16.5">
      <c r="A20" s="140">
        <v>45887</v>
      </c>
      <c r="B20" s="166"/>
      <c r="C20" s="168"/>
      <c r="D20" s="218"/>
      <c r="E20" s="222"/>
      <c r="F20" s="223"/>
      <c r="G20" s="224"/>
      <c r="H20" s="285"/>
      <c r="I20" s="137"/>
      <c r="J20" s="270" t="s">
        <v>375</v>
      </c>
      <c r="K20" s="271">
        <v>0.5</v>
      </c>
      <c r="L20" s="283"/>
      <c r="M20" s="283"/>
      <c r="N20" s="283"/>
    </row>
    <row r="21" spans="1:14" ht="16.5">
      <c r="A21" s="140">
        <v>45888</v>
      </c>
      <c r="B21" s="166"/>
      <c r="C21" s="168"/>
      <c r="D21" s="215"/>
      <c r="E21" s="222"/>
      <c r="F21" s="223"/>
      <c r="G21" s="224"/>
      <c r="H21" s="285"/>
      <c r="I21" s="137"/>
      <c r="J21" s="280" t="s">
        <v>547</v>
      </c>
      <c r="K21" s="273">
        <v>4.5</v>
      </c>
      <c r="L21" s="283"/>
      <c r="M21" s="282"/>
      <c r="N21" s="282"/>
    </row>
    <row r="22" spans="1:14" ht="16.5">
      <c r="A22" s="140">
        <v>45889</v>
      </c>
      <c r="B22" s="166"/>
      <c r="C22" s="168"/>
      <c r="D22" s="215"/>
      <c r="E22" s="222"/>
      <c r="F22" s="223"/>
      <c r="G22" s="224"/>
      <c r="H22" s="285"/>
      <c r="I22" s="137"/>
      <c r="J22" s="280" t="s">
        <v>548</v>
      </c>
      <c r="K22" s="276">
        <v>4.25</v>
      </c>
      <c r="L22" s="282" t="s">
        <v>120</v>
      </c>
      <c r="M22" s="282"/>
      <c r="N22" s="282"/>
    </row>
    <row r="23" spans="1:14" ht="16.5">
      <c r="A23" s="140">
        <v>45890</v>
      </c>
      <c r="B23" s="166"/>
      <c r="C23" s="168"/>
      <c r="D23" s="215"/>
      <c r="E23" s="222"/>
      <c r="F23" s="223"/>
      <c r="G23" s="224"/>
      <c r="H23" s="285"/>
      <c r="I23" s="137"/>
      <c r="J23" s="278" t="s">
        <v>544</v>
      </c>
      <c r="K23" s="273">
        <v>5.5</v>
      </c>
      <c r="L23" s="282" t="s">
        <v>380</v>
      </c>
      <c r="M23" s="282"/>
      <c r="N23" s="282"/>
    </row>
    <row r="24" spans="1:14" ht="16.5">
      <c r="A24" s="140">
        <v>45891</v>
      </c>
      <c r="B24" s="166"/>
      <c r="C24" s="168"/>
      <c r="D24" s="215"/>
      <c r="E24" s="222"/>
      <c r="F24" s="223"/>
      <c r="G24" s="224"/>
      <c r="H24" s="285"/>
      <c r="I24" s="137"/>
      <c r="J24" s="272"/>
      <c r="K24" s="273"/>
      <c r="L24" s="282"/>
    </row>
    <row r="25" spans="1:14" ht="16.5">
      <c r="A25" s="140">
        <v>45892</v>
      </c>
      <c r="B25" s="166"/>
      <c r="C25" s="168"/>
      <c r="D25" s="215"/>
      <c r="E25" s="222"/>
      <c r="F25" s="223">
        <v>1.5</v>
      </c>
      <c r="G25" s="224">
        <v>3.5</v>
      </c>
      <c r="I25" s="137" t="s">
        <v>533</v>
      </c>
      <c r="J25" s="249" t="s">
        <v>495</v>
      </c>
      <c r="K25" s="250">
        <f>SUM(K4:K24)</f>
        <v>48</v>
      </c>
    </row>
    <row r="26" spans="1:14" ht="16.5">
      <c r="A26" s="140">
        <v>45893</v>
      </c>
      <c r="B26" s="166"/>
      <c r="C26" s="168"/>
      <c r="D26" s="215"/>
      <c r="E26" s="222">
        <v>2.5</v>
      </c>
      <c r="F26" s="223"/>
      <c r="G26" s="224"/>
      <c r="H26" s="285"/>
      <c r="I26" s="137" t="s">
        <v>535</v>
      </c>
      <c r="J26" s="55"/>
      <c r="K26" s="48"/>
    </row>
    <row r="27" spans="1:14" ht="16.5">
      <c r="A27" s="140">
        <v>45894</v>
      </c>
      <c r="B27" s="166">
        <v>1</v>
      </c>
      <c r="C27" s="168"/>
      <c r="D27" s="219"/>
      <c r="E27" s="222">
        <v>3</v>
      </c>
      <c r="F27" s="223"/>
      <c r="G27" s="224"/>
      <c r="H27" s="285"/>
      <c r="I27" s="137" t="s">
        <v>534</v>
      </c>
      <c r="J27" s="285" t="s">
        <v>311</v>
      </c>
    </row>
    <row r="28" spans="1:14" ht="15.75" customHeight="1">
      <c r="A28" s="140">
        <v>45895</v>
      </c>
      <c r="B28" s="166">
        <v>4</v>
      </c>
      <c r="C28" s="168">
        <v>0.5</v>
      </c>
      <c r="D28" s="220">
        <v>1.5</v>
      </c>
      <c r="E28" s="222">
        <v>0.5</v>
      </c>
      <c r="F28" s="223">
        <v>1</v>
      </c>
      <c r="G28" s="224"/>
      <c r="H28" s="285"/>
      <c r="I28" s="137" t="s">
        <v>536</v>
      </c>
      <c r="J28" s="408"/>
      <c r="K28" s="408"/>
      <c r="L28" s="408"/>
      <c r="M28" s="408"/>
      <c r="N28" s="408"/>
    </row>
    <row r="29" spans="1:14" ht="22.5" customHeight="1">
      <c r="A29" s="140">
        <v>45896</v>
      </c>
      <c r="B29" s="166"/>
      <c r="C29" s="168"/>
      <c r="D29" s="215">
        <v>1</v>
      </c>
      <c r="E29" s="222">
        <v>1.5</v>
      </c>
      <c r="F29" s="223">
        <v>2</v>
      </c>
      <c r="G29" s="224"/>
      <c r="H29" s="285"/>
      <c r="I29" s="137" t="s">
        <v>538</v>
      </c>
      <c r="J29" s="408"/>
      <c r="K29" s="408"/>
      <c r="L29" s="408"/>
      <c r="M29" s="408"/>
      <c r="N29" s="408"/>
    </row>
    <row r="30" spans="1:14" ht="21.75" customHeight="1">
      <c r="A30" s="140">
        <v>45897</v>
      </c>
      <c r="B30" s="166">
        <v>2.5</v>
      </c>
      <c r="C30" s="168"/>
      <c r="D30" s="215"/>
      <c r="E30" s="222">
        <v>1</v>
      </c>
      <c r="F30" s="223">
        <v>2.5</v>
      </c>
      <c r="G30" s="224">
        <v>2.75</v>
      </c>
      <c r="H30" s="285"/>
      <c r="I30" s="137" t="s">
        <v>542</v>
      </c>
      <c r="J30" s="281" t="s">
        <v>320</v>
      </c>
    </row>
    <row r="31" spans="1:14" ht="16.5">
      <c r="A31" s="140">
        <v>45898</v>
      </c>
      <c r="B31" s="166"/>
      <c r="C31" s="168"/>
      <c r="D31" s="215"/>
      <c r="E31" s="222"/>
      <c r="F31" s="223">
        <v>3</v>
      </c>
      <c r="G31" s="224">
        <v>2</v>
      </c>
      <c r="H31" s="285">
        <v>1.5</v>
      </c>
      <c r="I31" s="137" t="s">
        <v>545</v>
      </c>
      <c r="L31" s="284" t="s">
        <v>350</v>
      </c>
      <c r="M31" s="284">
        <v>10</v>
      </c>
    </row>
    <row r="32" spans="1:14" ht="16.5">
      <c r="A32" s="140">
        <v>45899</v>
      </c>
      <c r="B32" s="166">
        <v>2.5</v>
      </c>
      <c r="C32" s="168">
        <v>4.5</v>
      </c>
      <c r="D32" s="215">
        <v>2</v>
      </c>
      <c r="E32" s="222">
        <v>1.5</v>
      </c>
      <c r="F32" s="223"/>
      <c r="G32" s="224"/>
      <c r="H32" s="285">
        <v>1.5</v>
      </c>
      <c r="I32" s="137"/>
      <c r="L32" s="284" t="s">
        <v>351</v>
      </c>
      <c r="M32" s="284">
        <v>15</v>
      </c>
    </row>
    <row r="33" spans="1:14" ht="16.5">
      <c r="A33" s="140">
        <v>45900</v>
      </c>
      <c r="B33" s="166">
        <v>6</v>
      </c>
      <c r="C33" s="169"/>
      <c r="D33" s="221"/>
      <c r="E33" s="225">
        <v>0.75</v>
      </c>
      <c r="F33" s="226">
        <v>2</v>
      </c>
      <c r="G33" s="227"/>
      <c r="H33" s="285">
        <v>0.5</v>
      </c>
      <c r="I33" s="137"/>
      <c r="J33" s="285"/>
      <c r="L33" s="141" t="s">
        <v>349</v>
      </c>
      <c r="M33" s="284">
        <v>15</v>
      </c>
      <c r="N33" s="285"/>
    </row>
    <row r="34" spans="1:14" ht="16.5">
      <c r="A34" s="140"/>
      <c r="B34" s="285"/>
      <c r="C34" s="285"/>
      <c r="D34" s="285"/>
      <c r="E34" s="285"/>
      <c r="F34" s="82"/>
      <c r="G34" s="82">
        <v>7.5</v>
      </c>
      <c r="H34" s="285"/>
      <c r="I34" s="285"/>
      <c r="L34" s="284" t="s">
        <v>352</v>
      </c>
      <c r="M34" s="284">
        <v>20</v>
      </c>
    </row>
    <row r="35" spans="1:14">
      <c r="A35" s="281" t="s">
        <v>120</v>
      </c>
      <c r="B35" s="281">
        <v>3</v>
      </c>
      <c r="L35" s="284" t="s">
        <v>353</v>
      </c>
      <c r="M35" s="284">
        <v>15</v>
      </c>
    </row>
    <row r="36" spans="1:14">
      <c r="L36" s="284" t="s">
        <v>136</v>
      </c>
      <c r="M36" s="284">
        <v>15</v>
      </c>
    </row>
    <row r="37" spans="1:14">
      <c r="L37" s="284" t="s">
        <v>354</v>
      </c>
      <c r="M37" s="284">
        <f>SUM(M31:M36)/60</f>
        <v>1.5</v>
      </c>
    </row>
    <row r="55" spans="5:5">
      <c r="E55" s="51"/>
    </row>
    <row r="56" spans="5:5">
      <c r="E56" s="51"/>
    </row>
    <row r="58" spans="5:5">
      <c r="E58" s="51"/>
    </row>
  </sheetData>
  <mergeCells count="2">
    <mergeCell ref="L16:M16"/>
    <mergeCell ref="J28:N29"/>
  </mergeCells>
  <conditionalFormatting sqref="B3:B4 B6:B33">
    <cfRule type="cellIs" dxfId="44" priority="2" operator="lessThan">
      <formula>$B$35</formula>
    </cfRule>
    <cfRule type="cellIs" dxfId="43" priority="3" operator="between">
      <formula>$B$35</formula>
      <formula>3</formula>
    </cfRule>
    <cfRule type="cellIs" dxfId="42" priority="4" operator="greaterThan">
      <formula>$B$35</formula>
    </cfRule>
  </conditionalFormatting>
  <conditionalFormatting sqref="A3:A34">
    <cfRule type="expression" dxfId="41" priority="1">
      <formula>WEEKDAY(A3,2)&gt;5</formula>
    </cfRule>
  </conditionalFormatting>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I9" sqref="I9"/>
    </sheetView>
  </sheetViews>
  <sheetFormatPr defaultColWidth="9.140625" defaultRowHeight="15"/>
  <cols>
    <col min="1" max="1" width="8.85546875" style="292" customWidth="1"/>
    <col min="2" max="2" width="6.28515625" style="292" customWidth="1"/>
    <col min="3" max="3" width="8.42578125" style="292" customWidth="1"/>
    <col min="4" max="4" width="6.42578125" style="292" customWidth="1"/>
    <col min="5" max="5" width="6.28515625" style="292" customWidth="1"/>
    <col min="6" max="6" width="9.140625" style="292" customWidth="1"/>
    <col min="7" max="7" width="9.140625" style="292"/>
    <col min="8" max="8" width="6.42578125" style="292" customWidth="1"/>
    <col min="9" max="9" width="67.5703125" style="292" customWidth="1"/>
    <col min="10" max="10" width="61.42578125" style="292" customWidth="1"/>
    <col min="11" max="11" width="15.5703125" style="292" customWidth="1"/>
    <col min="12" max="12" width="19.85546875" style="292" bestFit="1" customWidth="1"/>
    <col min="13" max="13" width="9.140625" style="292"/>
    <col min="14" max="14" width="5.140625" style="292" customWidth="1"/>
    <col min="15" max="16384" width="9.140625" style="292"/>
  </cols>
  <sheetData>
    <row r="1" spans="1:17" ht="58.5" customHeight="1" thickBot="1">
      <c r="A1" s="38" t="s">
        <v>109</v>
      </c>
      <c r="B1" s="39" t="s">
        <v>1</v>
      </c>
      <c r="C1" s="156" t="s">
        <v>328</v>
      </c>
      <c r="D1" s="156" t="s">
        <v>344</v>
      </c>
      <c r="E1" s="157" t="s">
        <v>313</v>
      </c>
      <c r="F1" s="78" t="s">
        <v>359</v>
      </c>
      <c r="G1" s="78" t="s">
        <v>7</v>
      </c>
      <c r="H1" s="77" t="s">
        <v>403</v>
      </c>
      <c r="I1" s="130" t="s">
        <v>472</v>
      </c>
      <c r="J1" s="56" t="s">
        <v>11</v>
      </c>
      <c r="K1" s="88"/>
      <c r="L1" s="89" t="s">
        <v>218</v>
      </c>
      <c r="M1" s="90">
        <f>SUM(B3:B33)</f>
        <v>36.5</v>
      </c>
      <c r="N1" s="292" t="s">
        <v>537</v>
      </c>
      <c r="Q1" s="292" t="s">
        <v>574</v>
      </c>
    </row>
    <row r="2" spans="1:17" ht="18" thickTop="1" thickBot="1">
      <c r="B2" s="296">
        <f>SUM(B3:B33)</f>
        <v>36.5</v>
      </c>
      <c r="C2" s="167">
        <f t="shared" ref="C2:G2" si="0">SUM(C3:C33)</f>
        <v>13.55</v>
      </c>
      <c r="D2" s="167">
        <f t="shared" si="0"/>
        <v>13.5</v>
      </c>
      <c r="E2" s="52">
        <f t="shared" si="0"/>
        <v>6.75</v>
      </c>
      <c r="F2" s="296">
        <f t="shared" si="0"/>
        <v>24.5</v>
      </c>
      <c r="G2" s="296">
        <f t="shared" si="0"/>
        <v>66</v>
      </c>
      <c r="H2" s="52">
        <f>SUM(H3:H33)</f>
        <v>14.5</v>
      </c>
      <c r="I2" s="261">
        <f>SUM(E2:G2)</f>
        <v>97.25</v>
      </c>
      <c r="J2" s="296"/>
      <c r="K2" s="292" t="s">
        <v>110</v>
      </c>
      <c r="L2" s="91" t="s">
        <v>219</v>
      </c>
      <c r="M2" s="91">
        <f>SUM(M3:M4)</f>
        <v>146.30000000000001</v>
      </c>
      <c r="N2" s="292">
        <f>SUM(N3:N27)</f>
        <v>12.5</v>
      </c>
    </row>
    <row r="3" spans="1:17" ht="17.25" thickTop="1">
      <c r="A3" s="140">
        <v>45901</v>
      </c>
      <c r="B3" s="166">
        <v>4.5</v>
      </c>
      <c r="C3" s="168">
        <v>2</v>
      </c>
      <c r="D3" s="228">
        <v>0.5</v>
      </c>
      <c r="E3" s="229"/>
      <c r="F3" s="237">
        <v>2</v>
      </c>
      <c r="G3" s="231">
        <v>1</v>
      </c>
      <c r="H3" s="52"/>
      <c r="I3" s="137" t="s">
        <v>550</v>
      </c>
      <c r="J3" s="57" t="s">
        <v>272</v>
      </c>
      <c r="K3" s="131" t="s">
        <v>277</v>
      </c>
      <c r="L3" s="92" t="s">
        <v>116</v>
      </c>
      <c r="M3" s="92">
        <f>SUM(C3:E33)</f>
        <v>33.799999999999997</v>
      </c>
      <c r="N3" s="292">
        <v>8</v>
      </c>
    </row>
    <row r="4" spans="1:17" ht="19.5" customHeight="1">
      <c r="A4" s="140">
        <v>45902</v>
      </c>
      <c r="B4" s="166">
        <v>4.5</v>
      </c>
      <c r="C4" s="168"/>
      <c r="D4" s="228"/>
      <c r="E4" s="232">
        <v>0.5</v>
      </c>
      <c r="F4" s="223">
        <v>3.25</v>
      </c>
      <c r="G4" s="233">
        <v>0.5</v>
      </c>
      <c r="H4" s="52"/>
      <c r="I4" s="137" t="s">
        <v>552</v>
      </c>
      <c r="J4" s="270"/>
      <c r="K4" s="271"/>
      <c r="L4" s="92" t="s">
        <v>469</v>
      </c>
      <c r="M4" s="92">
        <f>SUM(F3:H34)</f>
        <v>112.5</v>
      </c>
      <c r="N4" s="292">
        <v>8</v>
      </c>
    </row>
    <row r="5" spans="1:17" ht="16.5">
      <c r="A5" s="140">
        <v>45903</v>
      </c>
      <c r="B5" s="292">
        <v>1</v>
      </c>
      <c r="C5" s="168"/>
      <c r="D5" s="228">
        <v>0.5</v>
      </c>
      <c r="E5" s="232"/>
      <c r="F5" s="230">
        <v>1.5</v>
      </c>
      <c r="G5" s="238">
        <v>1.5</v>
      </c>
      <c r="H5" s="52">
        <v>0.5</v>
      </c>
      <c r="I5" s="137"/>
      <c r="J5" s="278" t="s">
        <v>551</v>
      </c>
      <c r="K5" s="273">
        <v>5.25</v>
      </c>
      <c r="N5" s="134">
        <v>8</v>
      </c>
    </row>
    <row r="6" spans="1:17" ht="16.5">
      <c r="A6" s="140">
        <v>45904</v>
      </c>
      <c r="B6" s="166"/>
      <c r="C6" s="168"/>
      <c r="D6" s="229"/>
      <c r="E6" s="232"/>
      <c r="F6" s="223">
        <v>1.5</v>
      </c>
      <c r="G6" s="233">
        <v>0.5</v>
      </c>
      <c r="H6" s="52">
        <v>1</v>
      </c>
      <c r="I6" s="137"/>
      <c r="J6" s="279" t="s">
        <v>387</v>
      </c>
      <c r="K6" s="271">
        <v>9</v>
      </c>
      <c r="L6" s="54" t="s">
        <v>129</v>
      </c>
      <c r="M6" s="54" t="s">
        <v>132</v>
      </c>
      <c r="O6" s="286" t="s">
        <v>350</v>
      </c>
      <c r="P6" s="286">
        <v>10</v>
      </c>
    </row>
    <row r="7" spans="1:17" ht="16.5">
      <c r="A7" s="140">
        <v>45905</v>
      </c>
      <c r="B7" s="166"/>
      <c r="C7" s="168"/>
      <c r="D7" s="215"/>
      <c r="E7" s="232"/>
      <c r="F7" s="223"/>
      <c r="G7" s="233"/>
      <c r="H7" s="52"/>
      <c r="I7" s="137"/>
      <c r="J7" s="288" t="s">
        <v>571</v>
      </c>
      <c r="K7" s="271">
        <v>10.75</v>
      </c>
      <c r="L7" s="107" t="s">
        <v>553</v>
      </c>
      <c r="M7" s="108" t="s">
        <v>398</v>
      </c>
      <c r="O7" s="286" t="s">
        <v>351</v>
      </c>
      <c r="P7" s="286">
        <v>20</v>
      </c>
    </row>
    <row r="8" spans="1:17" ht="16.5">
      <c r="A8" s="140">
        <v>45906</v>
      </c>
      <c r="B8" s="166">
        <v>3.5</v>
      </c>
      <c r="C8" s="168">
        <v>1.5</v>
      </c>
      <c r="D8" s="215"/>
      <c r="E8" s="232">
        <v>1</v>
      </c>
      <c r="F8" s="223">
        <v>2.5</v>
      </c>
      <c r="G8" s="233">
        <v>1</v>
      </c>
      <c r="H8" s="52">
        <v>0.5</v>
      </c>
      <c r="I8" s="137" t="s">
        <v>559</v>
      </c>
      <c r="J8" s="290" t="s">
        <v>585</v>
      </c>
      <c r="K8" s="271"/>
      <c r="L8" s="148" t="s">
        <v>555</v>
      </c>
      <c r="M8" s="119" t="s">
        <v>156</v>
      </c>
      <c r="O8" s="286" t="s">
        <v>549</v>
      </c>
      <c r="P8" s="286">
        <v>30</v>
      </c>
    </row>
    <row r="9" spans="1:17" ht="16.5">
      <c r="A9" s="140">
        <v>45907</v>
      </c>
      <c r="B9" s="166">
        <v>7</v>
      </c>
      <c r="C9" s="168">
        <v>1</v>
      </c>
      <c r="D9" s="215">
        <v>1.25</v>
      </c>
      <c r="E9" s="232">
        <v>2.25</v>
      </c>
      <c r="F9" s="223"/>
      <c r="G9" s="233"/>
      <c r="H9" s="52"/>
      <c r="I9" s="137" t="s">
        <v>560</v>
      </c>
      <c r="J9" s="277"/>
      <c r="K9" s="271"/>
      <c r="L9" s="108"/>
      <c r="M9" s="108"/>
      <c r="O9" s="287" t="s">
        <v>352</v>
      </c>
      <c r="P9" s="287">
        <v>15</v>
      </c>
    </row>
    <row r="10" spans="1:17" ht="16.5">
      <c r="A10" s="140">
        <v>45908</v>
      </c>
      <c r="B10" s="166">
        <v>3.75</v>
      </c>
      <c r="C10" s="168"/>
      <c r="D10" s="215">
        <v>2</v>
      </c>
      <c r="E10" s="232"/>
      <c r="F10" s="223"/>
      <c r="G10" s="233">
        <v>1</v>
      </c>
      <c r="H10" s="296">
        <v>3</v>
      </c>
      <c r="I10" s="137" t="s">
        <v>562</v>
      </c>
      <c r="J10" s="271"/>
      <c r="K10" s="271"/>
      <c r="L10" s="148" t="s">
        <v>399</v>
      </c>
      <c r="M10" s="119">
        <v>3</v>
      </c>
      <c r="O10" s="287" t="s">
        <v>353</v>
      </c>
      <c r="P10" s="287">
        <v>10</v>
      </c>
    </row>
    <row r="11" spans="1:17" ht="16.5">
      <c r="A11" s="140">
        <v>45909</v>
      </c>
      <c r="B11" s="166">
        <v>0</v>
      </c>
      <c r="C11" s="168"/>
      <c r="D11" s="232">
        <v>1.5</v>
      </c>
      <c r="F11" s="223"/>
      <c r="G11" s="233">
        <v>3.5</v>
      </c>
      <c r="H11" s="296"/>
      <c r="I11" s="137" t="s">
        <v>563</v>
      </c>
      <c r="J11" s="270"/>
      <c r="K11" s="271"/>
      <c r="L11" s="292" t="s">
        <v>400</v>
      </c>
      <c r="O11" s="287" t="s">
        <v>136</v>
      </c>
      <c r="P11" s="287">
        <v>15</v>
      </c>
    </row>
    <row r="12" spans="1:17" ht="16.5">
      <c r="A12" s="140">
        <v>45910</v>
      </c>
      <c r="B12" s="166">
        <v>5</v>
      </c>
      <c r="C12" s="168">
        <v>0.5</v>
      </c>
      <c r="D12" s="215"/>
      <c r="E12" s="239"/>
      <c r="F12" s="223">
        <v>1.25</v>
      </c>
      <c r="G12" s="233">
        <v>0.5</v>
      </c>
      <c r="H12" s="296">
        <v>1</v>
      </c>
      <c r="I12" s="137" t="s">
        <v>564</v>
      </c>
      <c r="J12" s="271"/>
      <c r="K12" s="271"/>
      <c r="L12" s="120" t="s">
        <v>401</v>
      </c>
      <c r="M12" s="120" t="s">
        <v>79</v>
      </c>
      <c r="O12" s="289"/>
      <c r="P12" s="289"/>
    </row>
    <row r="13" spans="1:17" ht="16.5">
      <c r="A13" s="140">
        <v>45911</v>
      </c>
      <c r="B13" s="166">
        <v>2.25</v>
      </c>
      <c r="C13" s="168"/>
      <c r="D13" s="215"/>
      <c r="E13" s="232"/>
      <c r="F13" s="223">
        <v>1</v>
      </c>
      <c r="G13" s="233"/>
      <c r="H13" s="296">
        <v>1</v>
      </c>
      <c r="I13" s="137"/>
      <c r="J13" s="270"/>
      <c r="K13" s="271"/>
      <c r="L13" s="120" t="s">
        <v>278</v>
      </c>
      <c r="M13" s="120" t="s">
        <v>402</v>
      </c>
      <c r="O13" s="289" t="s">
        <v>554</v>
      </c>
      <c r="P13" s="289">
        <v>15</v>
      </c>
    </row>
    <row r="14" spans="1:17" ht="18" customHeight="1">
      <c r="A14" s="140">
        <v>45912</v>
      </c>
      <c r="B14" s="166">
        <v>1.5</v>
      </c>
      <c r="C14" s="168"/>
      <c r="D14" s="215"/>
      <c r="E14" s="234">
        <v>1</v>
      </c>
      <c r="F14" s="235">
        <v>1</v>
      </c>
      <c r="G14" s="236">
        <v>1.5</v>
      </c>
      <c r="H14" s="296">
        <v>1</v>
      </c>
      <c r="I14" s="137" t="s">
        <v>565</v>
      </c>
      <c r="J14" s="279" t="s">
        <v>583</v>
      </c>
      <c r="K14" s="271">
        <v>1</v>
      </c>
      <c r="L14" s="120" t="s">
        <v>275</v>
      </c>
      <c r="M14" s="120" t="s">
        <v>307</v>
      </c>
      <c r="O14" s="295" t="s">
        <v>354</v>
      </c>
      <c r="P14" s="295">
        <f>SUM(P6:P13)/60</f>
        <v>1.9166666666666667</v>
      </c>
    </row>
    <row r="15" spans="1:17" ht="16.5">
      <c r="A15" s="140">
        <v>45913</v>
      </c>
      <c r="B15" s="166">
        <v>0</v>
      </c>
      <c r="C15" s="168"/>
      <c r="D15" s="215"/>
      <c r="E15" s="222">
        <v>0.5</v>
      </c>
      <c r="F15" s="223">
        <v>1.5</v>
      </c>
      <c r="G15" s="224">
        <v>5</v>
      </c>
      <c r="H15" s="296">
        <v>1</v>
      </c>
      <c r="I15" s="137" t="s">
        <v>568</v>
      </c>
      <c r="J15" s="279" t="s">
        <v>580</v>
      </c>
      <c r="K15" s="271">
        <v>10</v>
      </c>
      <c r="L15" s="120"/>
      <c r="M15" s="120"/>
    </row>
    <row r="16" spans="1:17" ht="16.5">
      <c r="A16" s="140">
        <v>45914</v>
      </c>
      <c r="B16" s="166">
        <v>0</v>
      </c>
      <c r="C16" s="168"/>
      <c r="D16" s="216">
        <v>2</v>
      </c>
      <c r="E16" s="222"/>
      <c r="F16" s="223">
        <v>1.5</v>
      </c>
      <c r="G16" s="224">
        <v>5</v>
      </c>
      <c r="H16" s="296">
        <v>1.5</v>
      </c>
      <c r="I16" s="137" t="s">
        <v>570</v>
      </c>
      <c r="J16" s="279" t="s">
        <v>567</v>
      </c>
      <c r="K16" s="271">
        <v>1</v>
      </c>
      <c r="L16" s="405" t="s">
        <v>556</v>
      </c>
      <c r="M16" s="406"/>
    </row>
    <row r="17" spans="1:14" ht="16.5">
      <c r="A17" s="140">
        <v>45915</v>
      </c>
      <c r="B17" s="166">
        <v>3.5</v>
      </c>
      <c r="C17" s="168"/>
      <c r="D17" s="217">
        <v>0.75</v>
      </c>
      <c r="E17" s="222"/>
      <c r="F17" s="223">
        <v>0.5</v>
      </c>
      <c r="G17" s="224"/>
      <c r="H17" s="296">
        <v>1</v>
      </c>
      <c r="I17" s="262" t="s">
        <v>569</v>
      </c>
      <c r="J17" s="277" t="s">
        <v>49</v>
      </c>
      <c r="K17" s="271">
        <v>1</v>
      </c>
    </row>
    <row r="18" spans="1:14" ht="16.5">
      <c r="A18" s="140">
        <v>45916</v>
      </c>
      <c r="B18" s="166">
        <v>0</v>
      </c>
      <c r="C18" s="168"/>
      <c r="D18" s="215">
        <v>1</v>
      </c>
      <c r="E18" s="222">
        <v>0.5</v>
      </c>
      <c r="F18" s="223">
        <v>1</v>
      </c>
      <c r="G18" s="224">
        <v>1</v>
      </c>
      <c r="H18" s="296"/>
      <c r="I18" s="263" t="s">
        <v>572</v>
      </c>
      <c r="J18" s="279" t="s">
        <v>591</v>
      </c>
      <c r="K18" s="271">
        <v>21.5</v>
      </c>
      <c r="L18" s="147"/>
    </row>
    <row r="19" spans="1:14" ht="16.5">
      <c r="A19" s="140">
        <v>45917</v>
      </c>
      <c r="B19" s="166">
        <v>0</v>
      </c>
      <c r="C19" s="168"/>
      <c r="D19" s="215"/>
      <c r="E19" s="222"/>
      <c r="F19" s="223">
        <v>1</v>
      </c>
      <c r="G19" s="224">
        <v>5</v>
      </c>
      <c r="H19" s="296">
        <v>1.5</v>
      </c>
      <c r="I19" s="262" t="s">
        <v>573</v>
      </c>
      <c r="J19" s="277" t="s">
        <v>561</v>
      </c>
      <c r="K19" s="276">
        <v>1.5</v>
      </c>
      <c r="L19" s="294"/>
      <c r="M19" s="294"/>
      <c r="N19" s="294"/>
    </row>
    <row r="20" spans="1:14" ht="16.5">
      <c r="A20" s="140">
        <v>45918</v>
      </c>
      <c r="B20" s="166">
        <v>0</v>
      </c>
      <c r="C20" s="168">
        <v>0.3</v>
      </c>
      <c r="D20" s="218"/>
      <c r="E20" s="222"/>
      <c r="F20" s="223">
        <v>1.25</v>
      </c>
      <c r="G20" s="224">
        <v>0.5</v>
      </c>
      <c r="H20" s="296"/>
      <c r="I20" s="137" t="s">
        <v>575</v>
      </c>
      <c r="J20" s="279" t="s">
        <v>578</v>
      </c>
      <c r="K20" s="277">
        <v>9</v>
      </c>
      <c r="L20" s="409"/>
      <c r="M20" s="343"/>
      <c r="N20" s="294">
        <v>-0.5</v>
      </c>
    </row>
    <row r="21" spans="1:14" ht="16.5">
      <c r="A21" s="140">
        <v>45919</v>
      </c>
      <c r="B21" s="166"/>
      <c r="C21" s="168">
        <v>0.25</v>
      </c>
      <c r="D21" s="215">
        <v>1</v>
      </c>
      <c r="E21" s="222"/>
      <c r="F21" s="223">
        <v>1.25</v>
      </c>
      <c r="G21" s="224">
        <v>1</v>
      </c>
      <c r="H21" s="296">
        <v>0.5</v>
      </c>
      <c r="I21" s="137" t="s">
        <v>576</v>
      </c>
      <c r="J21" s="280" t="s">
        <v>587</v>
      </c>
      <c r="K21" s="273">
        <v>11.5</v>
      </c>
      <c r="L21" s="294"/>
      <c r="M21" s="293"/>
      <c r="N21" s="293">
        <v>-1</v>
      </c>
    </row>
    <row r="22" spans="1:14" ht="16.5">
      <c r="A22" s="140">
        <v>45920</v>
      </c>
      <c r="B22" s="166"/>
      <c r="C22" s="168">
        <v>4</v>
      </c>
      <c r="D22" s="215"/>
      <c r="E22" s="222"/>
      <c r="F22" s="223"/>
      <c r="G22" s="224">
        <v>6</v>
      </c>
      <c r="H22" s="296"/>
      <c r="I22" s="137" t="s">
        <v>577</v>
      </c>
      <c r="J22" s="280" t="s">
        <v>557</v>
      </c>
      <c r="K22" s="276">
        <v>1</v>
      </c>
      <c r="L22" s="293"/>
      <c r="M22" s="293"/>
      <c r="N22" s="293">
        <v>-6</v>
      </c>
    </row>
    <row r="23" spans="1:14" ht="16.5">
      <c r="A23" s="140">
        <v>45921</v>
      </c>
      <c r="B23" s="166"/>
      <c r="C23" s="168"/>
      <c r="D23" s="215">
        <v>3</v>
      </c>
      <c r="E23" s="222"/>
      <c r="F23" s="223"/>
      <c r="G23" s="224">
        <v>7.5</v>
      </c>
      <c r="H23" s="296"/>
      <c r="I23" s="137" t="s">
        <v>579</v>
      </c>
      <c r="J23" s="278" t="s">
        <v>584</v>
      </c>
      <c r="K23" s="273">
        <v>12.25</v>
      </c>
      <c r="L23" s="293"/>
      <c r="M23" s="293"/>
      <c r="N23" s="293">
        <v>-1</v>
      </c>
    </row>
    <row r="24" spans="1:14" ht="16.5">
      <c r="A24" s="140">
        <v>45922</v>
      </c>
      <c r="B24" s="166"/>
      <c r="C24" s="168"/>
      <c r="D24" s="215"/>
      <c r="E24" s="222"/>
      <c r="F24" s="223"/>
      <c r="G24" s="224"/>
      <c r="H24" s="296"/>
      <c r="I24" s="137"/>
      <c r="J24" s="278" t="s">
        <v>588</v>
      </c>
      <c r="K24" s="273">
        <v>4.5</v>
      </c>
      <c r="L24" s="293"/>
      <c r="N24" s="293">
        <v>-3</v>
      </c>
    </row>
    <row r="25" spans="1:14" ht="16.5">
      <c r="A25" s="140">
        <v>45923</v>
      </c>
      <c r="B25" s="166"/>
      <c r="C25" s="168"/>
      <c r="D25" s="215"/>
      <c r="E25" s="222"/>
      <c r="F25" s="223"/>
      <c r="G25" s="224">
        <v>3</v>
      </c>
      <c r="I25" s="137" t="s">
        <v>581</v>
      </c>
      <c r="J25" s="249" t="s">
        <v>495</v>
      </c>
      <c r="K25" s="250">
        <f>SUM(K4:K24)</f>
        <v>99.25</v>
      </c>
    </row>
    <row r="26" spans="1:14" ht="16.5">
      <c r="A26" s="140">
        <v>45924</v>
      </c>
      <c r="B26" s="166"/>
      <c r="C26" s="168"/>
      <c r="D26" s="215"/>
      <c r="E26" s="222"/>
      <c r="F26" s="223"/>
      <c r="G26" s="224">
        <v>3</v>
      </c>
      <c r="H26" s="296"/>
      <c r="I26" s="137" t="s">
        <v>581</v>
      </c>
      <c r="J26" s="55"/>
      <c r="K26" s="48"/>
    </row>
    <row r="27" spans="1:14" ht="16.5">
      <c r="A27" s="140">
        <v>45925</v>
      </c>
      <c r="B27" s="166"/>
      <c r="C27" s="168"/>
      <c r="D27" s="219"/>
      <c r="E27" s="222"/>
      <c r="F27" s="223"/>
      <c r="G27" s="224">
        <v>3</v>
      </c>
      <c r="H27" s="296"/>
      <c r="I27" s="137" t="s">
        <v>581</v>
      </c>
      <c r="J27" s="296" t="s">
        <v>311</v>
      </c>
    </row>
    <row r="28" spans="1:14" ht="15.75" customHeight="1">
      <c r="A28" s="140">
        <v>45926</v>
      </c>
      <c r="B28" s="166"/>
      <c r="C28" s="168"/>
      <c r="D28" s="220"/>
      <c r="E28" s="222"/>
      <c r="F28" s="223"/>
      <c r="G28" s="224">
        <v>3</v>
      </c>
      <c r="H28" s="296"/>
      <c r="I28" s="137" t="s">
        <v>582</v>
      </c>
      <c r="J28" s="410" t="s">
        <v>558</v>
      </c>
      <c r="K28" s="408"/>
      <c r="L28" s="408"/>
      <c r="M28" s="408"/>
      <c r="N28" s="408"/>
    </row>
    <row r="29" spans="1:14" ht="22.5" customHeight="1">
      <c r="A29" s="140">
        <v>45927</v>
      </c>
      <c r="B29" s="166"/>
      <c r="C29" s="168">
        <v>3</v>
      </c>
      <c r="D29" s="215"/>
      <c r="E29" s="222">
        <v>1</v>
      </c>
      <c r="F29" s="223"/>
      <c r="G29" s="224">
        <v>9.75</v>
      </c>
      <c r="H29" s="296"/>
      <c r="I29" s="137" t="s">
        <v>586</v>
      </c>
      <c r="J29" s="408"/>
      <c r="K29" s="408"/>
      <c r="L29" s="408"/>
      <c r="M29" s="408"/>
      <c r="N29" s="408"/>
    </row>
    <row r="30" spans="1:14" ht="21.75" customHeight="1">
      <c r="A30" s="140">
        <v>45928</v>
      </c>
      <c r="B30" s="166"/>
      <c r="C30" s="168">
        <v>0.5</v>
      </c>
      <c r="D30" s="215"/>
      <c r="E30" s="222"/>
      <c r="F30" s="223"/>
      <c r="G30" s="224"/>
      <c r="H30" s="296">
        <v>1</v>
      </c>
      <c r="I30" s="137"/>
      <c r="J30" s="292" t="s">
        <v>320</v>
      </c>
    </row>
    <row r="31" spans="1:14" ht="16.5">
      <c r="A31" s="140">
        <v>45929</v>
      </c>
      <c r="B31" s="166"/>
      <c r="C31" s="168"/>
      <c r="D31" s="215"/>
      <c r="E31" s="222"/>
      <c r="F31" s="223">
        <v>1.5</v>
      </c>
      <c r="G31" s="224">
        <v>0.25</v>
      </c>
      <c r="H31" s="296"/>
      <c r="I31" s="137" t="s">
        <v>590</v>
      </c>
    </row>
    <row r="32" spans="1:14" ht="16.5">
      <c r="A32" s="140">
        <v>45930</v>
      </c>
      <c r="B32" s="166"/>
      <c r="C32" s="168">
        <v>0.5</v>
      </c>
      <c r="D32" s="215"/>
      <c r="E32" s="222"/>
      <c r="F32" s="223">
        <v>1</v>
      </c>
      <c r="G32" s="224">
        <v>2</v>
      </c>
      <c r="H32" s="296"/>
      <c r="I32" s="137" t="s">
        <v>589</v>
      </c>
    </row>
    <row r="33" spans="1:14" ht="16.5">
      <c r="A33" s="140"/>
      <c r="B33" s="166"/>
      <c r="C33" s="169"/>
      <c r="D33" s="221"/>
      <c r="E33" s="225"/>
      <c r="F33" s="226"/>
      <c r="G33" s="227"/>
      <c r="H33" s="296"/>
      <c r="I33" s="137"/>
      <c r="J33" s="296"/>
      <c r="N33" s="296"/>
    </row>
    <row r="34" spans="1:14" ht="16.5">
      <c r="A34" s="140"/>
      <c r="B34" s="296"/>
      <c r="C34" s="296"/>
      <c r="D34" s="296"/>
      <c r="E34" s="296"/>
      <c r="F34" s="82"/>
      <c r="G34" s="82">
        <v>7.5</v>
      </c>
      <c r="H34" s="296"/>
      <c r="I34" s="296"/>
    </row>
    <row r="35" spans="1:14">
      <c r="A35" s="292" t="s">
        <v>120</v>
      </c>
      <c r="B35" s="292">
        <v>3</v>
      </c>
    </row>
    <row r="55" spans="5:5">
      <c r="E55" s="51"/>
    </row>
    <row r="56" spans="5:5">
      <c r="E56" s="51"/>
    </row>
    <row r="58" spans="5:5">
      <c r="E58" s="51"/>
    </row>
  </sheetData>
  <mergeCells count="3">
    <mergeCell ref="L16:M16"/>
    <mergeCell ref="L20:M20"/>
    <mergeCell ref="J28:N29"/>
  </mergeCells>
  <conditionalFormatting sqref="B3:B4 B6:B33">
    <cfRule type="cellIs" dxfId="35" priority="2" operator="lessThan">
      <formula>$B$35</formula>
    </cfRule>
    <cfRule type="cellIs" dxfId="34" priority="3" operator="between">
      <formula>$B$35</formula>
      <formula>3</formula>
    </cfRule>
    <cfRule type="cellIs" dxfId="33" priority="4" operator="greaterThan">
      <formula>$B$35</formula>
    </cfRule>
  </conditionalFormatting>
  <conditionalFormatting sqref="A3:A34">
    <cfRule type="expression" dxfId="32" priority="1">
      <formula>WEEKDAY(A3,2)&gt;5</formula>
    </cfRule>
  </conditionalFormatting>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zoomScaleNormal="100" workbookViewId="0">
      <pane ySplit="1" topLeftCell="A2" activePane="bottomLeft" state="frozen"/>
      <selection pane="bottomLeft" activeCell="I23" sqref="I23"/>
    </sheetView>
  </sheetViews>
  <sheetFormatPr defaultColWidth="9.140625" defaultRowHeight="15"/>
  <cols>
    <col min="1" max="1" width="8.85546875" style="308" customWidth="1"/>
    <col min="2" max="2" width="11" style="308" customWidth="1"/>
    <col min="3" max="3" width="8.42578125" style="308" customWidth="1"/>
    <col min="4" max="4" width="6.42578125" style="308" customWidth="1"/>
    <col min="5" max="5" width="6.28515625" style="308" customWidth="1"/>
    <col min="6" max="6" width="9.140625" style="308" customWidth="1"/>
    <col min="7" max="7" width="9.140625" style="308"/>
    <col min="8" max="8" width="6.42578125" style="308" customWidth="1"/>
    <col min="9" max="9" width="67.5703125" style="308" customWidth="1"/>
    <col min="10" max="10" width="61.42578125" style="308" customWidth="1"/>
    <col min="11" max="11" width="15.5703125" style="308" customWidth="1"/>
    <col min="12" max="12" width="19.85546875" style="308" bestFit="1" customWidth="1"/>
    <col min="13" max="13" width="12.42578125" style="308" customWidth="1"/>
    <col min="14" max="14" width="5.140625" style="308" customWidth="1"/>
    <col min="15" max="16384" width="9.140625" style="308"/>
  </cols>
  <sheetData>
    <row r="1" spans="1:17" ht="58.5" customHeight="1" thickBot="1">
      <c r="A1" s="38" t="s">
        <v>109</v>
      </c>
      <c r="B1" s="39" t="s">
        <v>1</v>
      </c>
      <c r="C1" s="156" t="s">
        <v>328</v>
      </c>
      <c r="D1" s="156" t="s">
        <v>344</v>
      </c>
      <c r="E1" s="157" t="s">
        <v>313</v>
      </c>
      <c r="F1" s="78" t="s">
        <v>359</v>
      </c>
      <c r="G1" s="78" t="s">
        <v>7</v>
      </c>
      <c r="H1" s="77" t="s">
        <v>403</v>
      </c>
      <c r="I1" s="130" t="s">
        <v>472</v>
      </c>
      <c r="J1" s="56" t="s">
        <v>11</v>
      </c>
      <c r="K1" s="88"/>
      <c r="L1" s="89" t="s">
        <v>218</v>
      </c>
      <c r="M1" s="90">
        <f>SUM(B3:B33)</f>
        <v>22</v>
      </c>
      <c r="N1" s="308" t="s">
        <v>537</v>
      </c>
      <c r="Q1" s="308" t="s">
        <v>574</v>
      </c>
    </row>
    <row r="2" spans="1:17" ht="18" thickTop="1" thickBot="1">
      <c r="B2" s="312">
        <f>SUM(B3:B32)</f>
        <v>20</v>
      </c>
      <c r="C2" s="167">
        <f>SUM(C3:C33)</f>
        <v>18.899999999999999</v>
      </c>
      <c r="D2" s="167">
        <f>SUM(D3:D33)</f>
        <v>8.75</v>
      </c>
      <c r="E2" s="52">
        <f>SUM(E3:E33)</f>
        <v>19.25</v>
      </c>
      <c r="F2" s="312">
        <f>SUM(F3:F34)</f>
        <v>28.5</v>
      </c>
      <c r="G2" s="312">
        <f>SUM(G3:G33)</f>
        <v>40.5</v>
      </c>
      <c r="H2" s="52">
        <f>SUM(H4:H33)</f>
        <v>20</v>
      </c>
      <c r="I2" s="261">
        <f>SUM(E2:G2)</f>
        <v>88.25</v>
      </c>
      <c r="J2" s="312"/>
      <c r="K2" s="308" t="s">
        <v>110</v>
      </c>
      <c r="L2" s="91" t="s">
        <v>219</v>
      </c>
      <c r="M2" s="91">
        <f>SUM(M3:M4)</f>
        <v>135.9</v>
      </c>
      <c r="N2" s="308">
        <f>SUM(N3:N31)</f>
        <v>-17.5</v>
      </c>
    </row>
    <row r="3" spans="1:17" ht="17.25" thickTop="1">
      <c r="A3" s="140">
        <v>45931</v>
      </c>
      <c r="B3" s="166"/>
      <c r="C3" s="168"/>
      <c r="D3" s="228"/>
      <c r="E3" s="229">
        <v>0.75</v>
      </c>
      <c r="F3" s="237">
        <v>0.5</v>
      </c>
      <c r="G3" s="231">
        <v>1</v>
      </c>
      <c r="I3" s="137" t="s">
        <v>595</v>
      </c>
      <c r="J3" s="57" t="s">
        <v>272</v>
      </c>
      <c r="K3" s="131" t="s">
        <v>277</v>
      </c>
      <c r="L3" s="92" t="s">
        <v>116</v>
      </c>
      <c r="M3" s="92">
        <f>SUM(C3:E33)</f>
        <v>46.900000000000006</v>
      </c>
      <c r="N3" s="308">
        <v>-0.5</v>
      </c>
    </row>
    <row r="4" spans="1:17" ht="19.5" customHeight="1">
      <c r="A4" s="140">
        <v>45932</v>
      </c>
      <c r="B4" s="166"/>
      <c r="C4" s="168">
        <v>4</v>
      </c>
      <c r="D4" s="228">
        <v>1</v>
      </c>
      <c r="E4" s="232">
        <v>1.5</v>
      </c>
      <c r="F4" s="223">
        <v>0.5</v>
      </c>
      <c r="G4" s="233">
        <v>1.5</v>
      </c>
      <c r="H4" s="52">
        <v>1.5</v>
      </c>
      <c r="I4" s="137" t="s">
        <v>599</v>
      </c>
      <c r="J4" s="270"/>
      <c r="K4" s="271"/>
      <c r="L4" s="92" t="s">
        <v>469</v>
      </c>
      <c r="M4" s="92">
        <f>SUM(F3:H34)</f>
        <v>89</v>
      </c>
    </row>
    <row r="5" spans="1:17" ht="16.5">
      <c r="A5" s="140">
        <v>45933</v>
      </c>
      <c r="C5" s="168"/>
      <c r="D5" s="228">
        <v>0.75</v>
      </c>
      <c r="E5" s="232">
        <v>0.5</v>
      </c>
      <c r="F5" s="230">
        <v>0.5</v>
      </c>
      <c r="G5" s="238">
        <v>3.5</v>
      </c>
      <c r="H5" s="52"/>
      <c r="I5" s="137" t="s">
        <v>610</v>
      </c>
      <c r="J5" s="278" t="s">
        <v>633</v>
      </c>
      <c r="K5" s="273">
        <v>9</v>
      </c>
      <c r="N5" s="134"/>
    </row>
    <row r="6" spans="1:17" ht="16.5">
      <c r="A6" s="140">
        <v>45934</v>
      </c>
      <c r="B6" s="166"/>
      <c r="C6" s="168">
        <v>3</v>
      </c>
      <c r="D6" s="229"/>
      <c r="E6" s="232"/>
      <c r="F6" s="223">
        <v>1.5</v>
      </c>
      <c r="G6" s="233">
        <v>6</v>
      </c>
      <c r="H6" s="52">
        <v>1.5</v>
      </c>
      <c r="I6" s="137" t="s">
        <v>611</v>
      </c>
      <c r="J6" s="279" t="s">
        <v>619</v>
      </c>
      <c r="K6" s="271">
        <v>6</v>
      </c>
      <c r="L6" s="54" t="s">
        <v>129</v>
      </c>
      <c r="M6" s="54" t="s">
        <v>132</v>
      </c>
      <c r="N6" s="308">
        <v>-6</v>
      </c>
      <c r="O6" s="286" t="s">
        <v>350</v>
      </c>
      <c r="P6" s="286">
        <v>10</v>
      </c>
    </row>
    <row r="7" spans="1:17" ht="16.5">
      <c r="A7" s="140">
        <v>45935</v>
      </c>
      <c r="B7" s="166"/>
      <c r="C7" s="168"/>
      <c r="D7" s="215">
        <v>0.5</v>
      </c>
      <c r="E7" s="232">
        <v>1</v>
      </c>
      <c r="F7" s="223">
        <v>1</v>
      </c>
      <c r="G7" s="233">
        <v>8.5</v>
      </c>
      <c r="H7" s="52"/>
      <c r="I7" s="137"/>
      <c r="J7" s="288" t="s">
        <v>628</v>
      </c>
      <c r="K7" s="271">
        <v>5.5</v>
      </c>
      <c r="L7" s="107" t="s">
        <v>553</v>
      </c>
      <c r="M7" s="108" t="s">
        <v>398</v>
      </c>
      <c r="N7" s="308">
        <v>-8</v>
      </c>
      <c r="O7" s="286" t="s">
        <v>351</v>
      </c>
      <c r="P7" s="286">
        <v>20</v>
      </c>
    </row>
    <row r="8" spans="1:17" ht="16.5">
      <c r="A8" s="140">
        <v>45936</v>
      </c>
      <c r="B8" s="166"/>
      <c r="C8" s="168"/>
      <c r="D8" s="215"/>
      <c r="E8" s="232"/>
      <c r="F8" s="223">
        <v>0.5</v>
      </c>
      <c r="G8" s="233">
        <v>1</v>
      </c>
      <c r="H8" s="52">
        <v>1</v>
      </c>
      <c r="I8" s="137" t="s">
        <v>613</v>
      </c>
      <c r="J8" s="290" t="s">
        <v>612</v>
      </c>
      <c r="K8" s="271"/>
      <c r="L8" s="148" t="s">
        <v>600</v>
      </c>
      <c r="M8" s="119" t="s">
        <v>601</v>
      </c>
      <c r="O8" s="286" t="s">
        <v>549</v>
      </c>
      <c r="P8" s="286">
        <v>30</v>
      </c>
    </row>
    <row r="9" spans="1:17" ht="16.5">
      <c r="A9" s="140">
        <v>45937</v>
      </c>
      <c r="B9" s="166">
        <v>3</v>
      </c>
      <c r="C9" s="168">
        <v>0.5</v>
      </c>
      <c r="D9" s="215"/>
      <c r="E9" s="232">
        <v>0.5</v>
      </c>
      <c r="F9" s="223">
        <v>0.5</v>
      </c>
      <c r="G9" s="233">
        <v>0.5</v>
      </c>
      <c r="H9" s="52"/>
      <c r="I9" s="137" t="s">
        <v>615</v>
      </c>
      <c r="J9" s="277" t="s">
        <v>594</v>
      </c>
      <c r="K9" s="271">
        <v>0.75</v>
      </c>
      <c r="L9" s="108" t="s">
        <v>602</v>
      </c>
      <c r="M9" s="108" t="s">
        <v>603</v>
      </c>
      <c r="O9" s="287" t="s">
        <v>352</v>
      </c>
      <c r="P9" s="287">
        <v>20</v>
      </c>
    </row>
    <row r="10" spans="1:17" ht="16.5">
      <c r="A10" s="140">
        <v>45938</v>
      </c>
      <c r="B10" s="166"/>
      <c r="C10" s="168"/>
      <c r="D10" s="215"/>
      <c r="E10" s="232"/>
      <c r="F10" s="223">
        <v>1.5</v>
      </c>
      <c r="G10" s="233">
        <v>0.5</v>
      </c>
      <c r="H10" s="312"/>
      <c r="I10" s="137"/>
      <c r="J10" s="277" t="s">
        <v>598</v>
      </c>
      <c r="K10" s="271">
        <v>9</v>
      </c>
      <c r="L10" s="297" t="s">
        <v>604</v>
      </c>
      <c r="M10" s="298" t="s">
        <v>605</v>
      </c>
      <c r="O10" s="287" t="s">
        <v>353</v>
      </c>
      <c r="P10" s="287">
        <v>10</v>
      </c>
    </row>
    <row r="11" spans="1:17" ht="16.5">
      <c r="A11" s="140">
        <v>45939</v>
      </c>
      <c r="B11" s="166"/>
      <c r="C11" s="168"/>
      <c r="D11" s="232"/>
      <c r="F11" s="223"/>
      <c r="G11" s="233">
        <v>2</v>
      </c>
      <c r="H11" s="312"/>
      <c r="I11" s="137" t="s">
        <v>616</v>
      </c>
      <c r="J11" s="277" t="s">
        <v>630</v>
      </c>
      <c r="K11" s="276">
        <v>1</v>
      </c>
      <c r="L11" s="308" t="s">
        <v>606</v>
      </c>
      <c r="M11" s="134" t="s">
        <v>607</v>
      </c>
      <c r="O11" s="287" t="s">
        <v>136</v>
      </c>
      <c r="P11" s="287">
        <v>15</v>
      </c>
    </row>
    <row r="12" spans="1:17" ht="16.5">
      <c r="A12" s="140">
        <v>45940</v>
      </c>
      <c r="B12" s="166"/>
      <c r="C12" s="168"/>
      <c r="D12" s="215"/>
      <c r="E12" s="239"/>
      <c r="F12" s="223"/>
      <c r="G12" s="233">
        <v>2.5</v>
      </c>
      <c r="H12" s="312"/>
      <c r="I12" s="137" t="s">
        <v>617</v>
      </c>
      <c r="J12" s="271"/>
      <c r="K12" s="271"/>
      <c r="L12" s="148" t="s">
        <v>608</v>
      </c>
      <c r="M12" s="119" t="s">
        <v>609</v>
      </c>
      <c r="O12" s="289"/>
      <c r="P12" s="289"/>
    </row>
    <row r="13" spans="1:17" ht="16.5">
      <c r="A13" s="140">
        <v>45941</v>
      </c>
      <c r="B13" s="299">
        <v>1.5</v>
      </c>
      <c r="C13" s="300">
        <v>1</v>
      </c>
      <c r="D13" s="301">
        <v>0.5</v>
      </c>
      <c r="E13" s="302">
        <v>7</v>
      </c>
      <c r="F13" s="303"/>
      <c r="G13" s="304">
        <v>2.5</v>
      </c>
      <c r="H13" s="305"/>
      <c r="I13" s="303" t="s">
        <v>620</v>
      </c>
      <c r="J13" s="270"/>
      <c r="K13" s="271"/>
      <c r="L13" s="308" t="s">
        <v>400</v>
      </c>
      <c r="O13" s="289" t="s">
        <v>554</v>
      </c>
      <c r="P13" s="289">
        <v>15</v>
      </c>
    </row>
    <row r="14" spans="1:17" ht="18" customHeight="1">
      <c r="A14" s="140">
        <v>45942</v>
      </c>
      <c r="B14" s="166">
        <v>2.5</v>
      </c>
      <c r="C14" s="168">
        <v>0.5</v>
      </c>
      <c r="D14" s="215">
        <v>1</v>
      </c>
      <c r="E14" s="234"/>
      <c r="F14" s="235">
        <v>1</v>
      </c>
      <c r="G14" s="236">
        <v>1</v>
      </c>
      <c r="H14" s="312">
        <v>2</v>
      </c>
      <c r="I14" s="137"/>
      <c r="J14" s="279"/>
      <c r="K14" s="271"/>
      <c r="L14" s="120" t="s">
        <v>401</v>
      </c>
      <c r="M14" s="120" t="s">
        <v>79</v>
      </c>
      <c r="N14" s="308">
        <v>-3</v>
      </c>
      <c r="O14" s="311" t="s">
        <v>354</v>
      </c>
      <c r="P14" s="311">
        <f>SUM(P6:P13)/60</f>
        <v>2</v>
      </c>
    </row>
    <row r="15" spans="1:17" ht="16.5">
      <c r="A15" s="140">
        <v>45943</v>
      </c>
      <c r="B15" s="166">
        <v>1.5</v>
      </c>
      <c r="C15" s="168"/>
      <c r="D15" s="215"/>
      <c r="E15" s="222"/>
      <c r="F15" s="223">
        <v>0.5</v>
      </c>
      <c r="G15" s="224">
        <v>2.5</v>
      </c>
      <c r="H15" s="312">
        <v>1.5</v>
      </c>
      <c r="I15" s="137" t="s">
        <v>618</v>
      </c>
      <c r="J15" s="279"/>
      <c r="K15" s="271"/>
      <c r="L15" s="120" t="s">
        <v>278</v>
      </c>
      <c r="M15" s="120" t="s">
        <v>402</v>
      </c>
    </row>
    <row r="16" spans="1:17" ht="16.5">
      <c r="A16" s="140">
        <v>45944</v>
      </c>
      <c r="B16" s="166"/>
      <c r="C16" s="168"/>
      <c r="D16" s="216"/>
      <c r="E16" s="222"/>
      <c r="F16" s="223">
        <v>0.5</v>
      </c>
      <c r="G16" s="224">
        <v>2</v>
      </c>
      <c r="H16" s="312">
        <v>1.5</v>
      </c>
      <c r="I16" s="137"/>
      <c r="J16" s="279" t="s">
        <v>624</v>
      </c>
      <c r="K16" s="271">
        <v>8.5</v>
      </c>
      <c r="L16" s="120" t="s">
        <v>275</v>
      </c>
      <c r="M16" s="120" t="s">
        <v>307</v>
      </c>
    </row>
    <row r="17" spans="1:14" ht="16.5">
      <c r="A17" s="140">
        <v>45945</v>
      </c>
      <c r="B17" s="166"/>
      <c r="C17" s="168"/>
      <c r="D17" s="217"/>
      <c r="E17" s="222"/>
      <c r="F17" s="223">
        <v>1</v>
      </c>
      <c r="G17" s="224">
        <v>0.5</v>
      </c>
      <c r="J17" s="277" t="s">
        <v>330</v>
      </c>
      <c r="K17" s="271">
        <v>14</v>
      </c>
    </row>
    <row r="18" spans="1:14" ht="16.5">
      <c r="A18" s="140">
        <v>45946</v>
      </c>
      <c r="B18" s="166"/>
      <c r="C18" s="168">
        <v>0.2</v>
      </c>
      <c r="D18" s="215"/>
      <c r="E18" s="222"/>
      <c r="F18" s="223">
        <v>1</v>
      </c>
      <c r="G18" s="224"/>
      <c r="H18" s="312">
        <v>2.5</v>
      </c>
      <c r="I18" s="262" t="s">
        <v>623</v>
      </c>
      <c r="J18" s="279" t="s">
        <v>593</v>
      </c>
      <c r="K18" s="271"/>
      <c r="L18" s="147"/>
    </row>
    <row r="19" spans="1:14" ht="16.5">
      <c r="A19" s="140">
        <v>45947</v>
      </c>
      <c r="B19" s="166"/>
      <c r="C19" s="168"/>
      <c r="D19" s="215"/>
      <c r="E19" s="222"/>
      <c r="F19" s="223">
        <v>0.5</v>
      </c>
      <c r="G19" s="224">
        <v>3</v>
      </c>
      <c r="H19" s="312">
        <v>1.5</v>
      </c>
      <c r="I19" s="262" t="s">
        <v>626</v>
      </c>
      <c r="J19" s="306"/>
      <c r="K19" s="307"/>
      <c r="L19" s="310"/>
      <c r="M19" s="310"/>
      <c r="N19" s="310"/>
    </row>
    <row r="20" spans="1:14" ht="16.5">
      <c r="A20" s="140">
        <v>45948</v>
      </c>
      <c r="B20" s="166"/>
      <c r="C20" s="168">
        <v>1.5</v>
      </c>
      <c r="D20" s="218">
        <v>2</v>
      </c>
      <c r="E20" s="222">
        <v>5</v>
      </c>
      <c r="F20" s="223">
        <v>2.5</v>
      </c>
      <c r="G20" s="224"/>
      <c r="H20" s="312"/>
      <c r="I20" s="137" t="s">
        <v>627</v>
      </c>
      <c r="J20" s="279" t="s">
        <v>632</v>
      </c>
      <c r="K20" s="277">
        <v>4</v>
      </c>
      <c r="L20" s="409"/>
      <c r="M20" s="343"/>
      <c r="N20" s="310"/>
    </row>
    <row r="21" spans="1:14" ht="16.5">
      <c r="A21" s="140">
        <v>45949</v>
      </c>
      <c r="B21" s="166">
        <v>4.5</v>
      </c>
      <c r="C21" s="168">
        <v>1.2</v>
      </c>
      <c r="D21" s="215">
        <v>2</v>
      </c>
      <c r="E21" s="222"/>
      <c r="F21" s="223">
        <v>3</v>
      </c>
      <c r="G21" s="224">
        <v>1</v>
      </c>
      <c r="H21" s="312">
        <v>1</v>
      </c>
      <c r="I21" s="137" t="s">
        <v>629</v>
      </c>
      <c r="J21" s="280" t="s">
        <v>592</v>
      </c>
      <c r="K21" s="273">
        <v>3.5</v>
      </c>
      <c r="L21" s="310"/>
      <c r="M21" s="309"/>
      <c r="N21" s="309"/>
    </row>
    <row r="22" spans="1:14" ht="16.5">
      <c r="A22" s="140">
        <v>45950</v>
      </c>
      <c r="B22" s="166">
        <v>1.5</v>
      </c>
      <c r="C22" s="168">
        <v>5</v>
      </c>
      <c r="D22" s="215"/>
      <c r="E22" s="222">
        <v>1</v>
      </c>
      <c r="F22" s="223">
        <v>2</v>
      </c>
      <c r="G22" s="224"/>
      <c r="H22" s="312"/>
      <c r="I22" s="137" t="s">
        <v>635</v>
      </c>
      <c r="J22" s="280" t="s">
        <v>614</v>
      </c>
      <c r="K22" s="276">
        <v>2</v>
      </c>
      <c r="L22" s="309"/>
      <c r="M22" s="309"/>
      <c r="N22" s="309"/>
    </row>
    <row r="23" spans="1:14" ht="16.5">
      <c r="A23" s="140">
        <v>45951</v>
      </c>
      <c r="B23" s="166"/>
      <c r="C23" s="168"/>
      <c r="D23" s="215"/>
      <c r="E23" s="222"/>
      <c r="F23" s="223"/>
      <c r="G23" s="224"/>
      <c r="H23" s="312"/>
      <c r="I23" s="137"/>
      <c r="J23" s="278" t="s">
        <v>634</v>
      </c>
      <c r="K23" s="273">
        <v>15</v>
      </c>
      <c r="L23" s="309"/>
      <c r="M23" s="309"/>
      <c r="N23" s="309"/>
    </row>
    <row r="24" spans="1:14" ht="16.5">
      <c r="A24" s="140">
        <v>45952</v>
      </c>
      <c r="B24" s="166"/>
      <c r="C24" s="168"/>
      <c r="D24" s="215"/>
      <c r="E24" s="222"/>
      <c r="F24" s="223"/>
      <c r="G24" s="224"/>
      <c r="H24" s="312"/>
      <c r="I24" s="137"/>
      <c r="J24" s="278" t="s">
        <v>625</v>
      </c>
      <c r="K24" s="273">
        <v>13</v>
      </c>
      <c r="L24" s="309"/>
      <c r="N24" s="309"/>
    </row>
    <row r="25" spans="1:14" ht="16.5">
      <c r="A25" s="140">
        <v>45953</v>
      </c>
      <c r="B25" s="166"/>
      <c r="C25" s="168"/>
      <c r="D25" s="215"/>
      <c r="E25" s="222"/>
      <c r="F25" s="223"/>
      <c r="G25" s="224"/>
      <c r="I25" s="137"/>
      <c r="J25" s="249" t="s">
        <v>495</v>
      </c>
      <c r="K25" s="250">
        <f>SUM(K4:K24)</f>
        <v>91.25</v>
      </c>
    </row>
    <row r="26" spans="1:14" ht="16.5">
      <c r="A26" s="140">
        <v>45954</v>
      </c>
      <c r="B26" s="166">
        <v>1.5</v>
      </c>
      <c r="C26" s="168"/>
      <c r="D26" s="215"/>
      <c r="E26" s="222"/>
      <c r="F26" s="223"/>
      <c r="G26" s="224"/>
      <c r="H26" s="312"/>
      <c r="I26" s="137"/>
      <c r="J26" s="55"/>
      <c r="K26" s="48"/>
    </row>
    <row r="27" spans="1:14" ht="16.5">
      <c r="A27" s="140">
        <v>45955</v>
      </c>
      <c r="B27" s="166">
        <v>2.5</v>
      </c>
      <c r="C27" s="168">
        <v>1</v>
      </c>
      <c r="D27" s="219">
        <v>1</v>
      </c>
      <c r="E27" s="222">
        <v>2</v>
      </c>
      <c r="F27" s="223"/>
      <c r="G27" s="224"/>
      <c r="H27" s="312">
        <v>2</v>
      </c>
      <c r="I27" s="137"/>
      <c r="J27" s="312" t="s">
        <v>311</v>
      </c>
    </row>
    <row r="28" spans="1:14" ht="15.75" customHeight="1">
      <c r="A28" s="140">
        <v>45956</v>
      </c>
      <c r="B28" s="166">
        <v>1.5</v>
      </c>
      <c r="C28" s="168">
        <v>1</v>
      </c>
      <c r="D28" s="220"/>
      <c r="E28" s="222"/>
      <c r="F28" s="223">
        <v>0.5</v>
      </c>
      <c r="G28" s="224">
        <v>1</v>
      </c>
      <c r="H28" s="312">
        <v>2</v>
      </c>
      <c r="I28" s="137" t="s">
        <v>631</v>
      </c>
      <c r="J28" s="410" t="s">
        <v>558</v>
      </c>
      <c r="K28" s="408"/>
      <c r="L28" s="408"/>
      <c r="M28" s="408"/>
      <c r="N28" s="408"/>
    </row>
    <row r="29" spans="1:14" ht="22.5" customHeight="1">
      <c r="A29" s="140">
        <v>45957</v>
      </c>
      <c r="B29" s="166"/>
      <c r="C29" s="168"/>
      <c r="D29" s="215"/>
      <c r="E29" s="222"/>
      <c r="F29" s="223">
        <v>0.5</v>
      </c>
      <c r="G29" s="224"/>
      <c r="H29" s="312">
        <v>2</v>
      </c>
      <c r="I29" s="137"/>
      <c r="J29" s="408"/>
      <c r="K29" s="408"/>
      <c r="L29" s="408"/>
      <c r="M29" s="408"/>
      <c r="N29" s="408"/>
    </row>
    <row r="30" spans="1:14" ht="21.75" customHeight="1">
      <c r="A30" s="140">
        <v>45958</v>
      </c>
      <c r="B30" s="166"/>
      <c r="C30" s="168"/>
      <c r="D30" s="215"/>
      <c r="E30" s="222"/>
      <c r="F30" s="223"/>
      <c r="G30" s="224"/>
      <c r="H30" s="312"/>
      <c r="I30" s="137"/>
      <c r="J30" s="308" t="s">
        <v>320</v>
      </c>
    </row>
    <row r="31" spans="1:14" ht="16.5">
      <c r="A31" s="140">
        <v>45959</v>
      </c>
      <c r="B31" s="166"/>
      <c r="C31" s="168"/>
      <c r="D31" s="215"/>
      <c r="E31" s="222"/>
      <c r="F31" s="223"/>
      <c r="G31" s="224"/>
      <c r="H31" s="312"/>
      <c r="I31" s="137"/>
    </row>
    <row r="32" spans="1:14" ht="16.5">
      <c r="A32" s="140">
        <v>45960</v>
      </c>
      <c r="B32" s="166"/>
      <c r="C32" s="168"/>
      <c r="D32" s="215"/>
      <c r="E32" s="222"/>
      <c r="F32" s="223"/>
      <c r="G32" s="224"/>
      <c r="H32" s="312"/>
      <c r="I32" s="137"/>
    </row>
    <row r="33" spans="1:14" ht="16.5">
      <c r="A33" s="140">
        <v>45961</v>
      </c>
      <c r="B33" s="166">
        <v>2</v>
      </c>
      <c r="C33" s="169"/>
      <c r="D33" s="221"/>
      <c r="E33" s="225"/>
      <c r="F33" s="226">
        <v>9</v>
      </c>
      <c r="G33" s="227"/>
      <c r="H33" s="312"/>
      <c r="I33" s="137" t="s">
        <v>597</v>
      </c>
      <c r="J33" s="312"/>
      <c r="N33" s="312"/>
    </row>
    <row r="34" spans="1:14" ht="16.5">
      <c r="A34" s="140"/>
      <c r="B34" s="312"/>
      <c r="C34" s="312"/>
      <c r="D34" s="312"/>
      <c r="E34" s="312"/>
      <c r="F34" s="82"/>
      <c r="G34" s="82"/>
      <c r="H34" s="312"/>
      <c r="I34" s="312"/>
    </row>
    <row r="35" spans="1:14">
      <c r="A35" s="308" t="s">
        <v>120</v>
      </c>
      <c r="B35" s="308">
        <v>3</v>
      </c>
    </row>
    <row r="55" spans="5:5">
      <c r="E55" s="51"/>
    </row>
    <row r="56" spans="5:5">
      <c r="E56" s="51"/>
    </row>
    <row r="58" spans="5:5">
      <c r="E58" s="51"/>
    </row>
  </sheetData>
  <mergeCells count="2">
    <mergeCell ref="L20:M20"/>
    <mergeCell ref="J28:N29"/>
  </mergeCells>
  <conditionalFormatting sqref="B3:B4 B6:B33">
    <cfRule type="cellIs" dxfId="26" priority="2" operator="lessThan">
      <formula>$B$35</formula>
    </cfRule>
    <cfRule type="cellIs" dxfId="25" priority="3" operator="between">
      <formula>$B$35</formula>
      <formula>3</formula>
    </cfRule>
    <cfRule type="cellIs" dxfId="24" priority="4" operator="greaterThan">
      <formula>$B$35</formula>
    </cfRule>
  </conditionalFormatting>
  <conditionalFormatting sqref="A3:A34">
    <cfRule type="expression" dxfId="23" priority="1">
      <formula>WEEKDAY(A3,2)&gt;5</formula>
    </cfRule>
  </conditionalFormatting>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zoomScaleNormal="100" workbookViewId="0">
      <pane ySplit="1" topLeftCell="A5" activePane="bottomLeft" state="frozen"/>
      <selection pane="bottomLeft" activeCell="B18" sqref="B18:B32"/>
    </sheetView>
  </sheetViews>
  <sheetFormatPr defaultColWidth="9.140625" defaultRowHeight="15"/>
  <cols>
    <col min="1" max="1" width="8.85546875" style="318" customWidth="1"/>
    <col min="2" max="2" width="6.28515625" style="318" customWidth="1"/>
    <col min="3" max="3" width="8.42578125" style="318" customWidth="1"/>
    <col min="4" max="4" width="6.42578125" style="318" customWidth="1"/>
    <col min="5" max="5" width="6.28515625" style="318" customWidth="1"/>
    <col min="6" max="7" width="9.140625" style="318" customWidth="1"/>
    <col min="8" max="10" width="6.42578125" style="318" customWidth="1"/>
    <col min="11" max="11" width="67.42578125" style="318" customWidth="1"/>
    <col min="12" max="12" width="50.85546875" style="318" customWidth="1"/>
    <col min="13" max="13" width="15.5703125" style="318" customWidth="1"/>
    <col min="14" max="14" width="19.85546875" style="318" bestFit="1" customWidth="1"/>
    <col min="15" max="15" width="12.42578125" style="318" customWidth="1"/>
    <col min="16" max="16" width="5.140625" style="318" customWidth="1"/>
    <col min="17" max="16384" width="9.140625" style="318"/>
  </cols>
  <sheetData>
    <row r="1" spans="1:19" ht="58.5" customHeight="1" thickBot="1">
      <c r="A1" s="38" t="s">
        <v>109</v>
      </c>
      <c r="B1" s="39" t="s">
        <v>1</v>
      </c>
      <c r="C1" s="156" t="s">
        <v>328</v>
      </c>
      <c r="D1" s="156" t="s">
        <v>344</v>
      </c>
      <c r="E1" s="157" t="s">
        <v>313</v>
      </c>
      <c r="F1" s="78" t="s">
        <v>359</v>
      </c>
      <c r="G1" s="78" t="s">
        <v>7</v>
      </c>
      <c r="H1" s="77" t="s">
        <v>403</v>
      </c>
      <c r="I1" s="77" t="s">
        <v>654</v>
      </c>
      <c r="J1" s="77" t="s">
        <v>655</v>
      </c>
      <c r="K1" s="130" t="s">
        <v>472</v>
      </c>
      <c r="L1" s="56" t="s">
        <v>11</v>
      </c>
      <c r="M1" s="88"/>
      <c r="N1" s="89" t="s">
        <v>218</v>
      </c>
      <c r="O1" s="90">
        <f>SUM(B3:B33)</f>
        <v>45.65</v>
      </c>
      <c r="P1" s="318" t="s">
        <v>537</v>
      </c>
      <c r="S1" s="318" t="s">
        <v>574</v>
      </c>
    </row>
    <row r="2" spans="1:19" ht="18" thickTop="1" thickBot="1">
      <c r="B2" s="321">
        <f>SUM(B3:B33)</f>
        <v>45.65</v>
      </c>
      <c r="C2" s="167">
        <f>SUM(C3:C33)</f>
        <v>16.95</v>
      </c>
      <c r="D2" s="167">
        <f>SUM(D3:D33)</f>
        <v>10.9</v>
      </c>
      <c r="E2" s="52">
        <f>SUM(E3:E33)</f>
        <v>8</v>
      </c>
      <c r="F2" s="321">
        <f>SUM(F3:F34)</f>
        <v>13.5</v>
      </c>
      <c r="G2" s="321">
        <f>SUM(G3:G33)</f>
        <v>30.75</v>
      </c>
      <c r="H2" s="52">
        <f>SUM(H4:H33)</f>
        <v>8.5</v>
      </c>
      <c r="I2" s="52">
        <f>SUM(I3:I32)</f>
        <v>17</v>
      </c>
      <c r="J2" s="52">
        <f>SUM(J3:J32)</f>
        <v>23.5</v>
      </c>
      <c r="K2" s="261">
        <f>SUM(E2:G2)</f>
        <v>52.25</v>
      </c>
      <c r="L2" s="321"/>
      <c r="M2" s="318" t="s">
        <v>110</v>
      </c>
      <c r="N2" s="91" t="s">
        <v>219</v>
      </c>
      <c r="O2" s="91">
        <f>SUM(O3:O4)</f>
        <v>88.6</v>
      </c>
      <c r="P2" s="318">
        <f>SUM(P3:P31)</f>
        <v>-9.5</v>
      </c>
    </row>
    <row r="3" spans="1:19" ht="17.25" thickTop="1">
      <c r="A3" s="140">
        <v>45962</v>
      </c>
      <c r="B3" s="166"/>
      <c r="C3" s="168">
        <v>3</v>
      </c>
      <c r="D3" s="228"/>
      <c r="E3" s="229"/>
      <c r="F3" s="237"/>
      <c r="G3" s="231"/>
      <c r="K3" s="137"/>
      <c r="L3" s="57" t="s">
        <v>272</v>
      </c>
      <c r="M3" s="131" t="s">
        <v>277</v>
      </c>
      <c r="N3" s="92" t="s">
        <v>116</v>
      </c>
      <c r="O3" s="92">
        <f>SUM(C3:E33)</f>
        <v>35.849999999999994</v>
      </c>
      <c r="P3" s="318">
        <v>-0.5</v>
      </c>
    </row>
    <row r="4" spans="1:19" ht="19.5" customHeight="1">
      <c r="A4" s="140">
        <v>45963</v>
      </c>
      <c r="B4" s="166"/>
      <c r="C4" s="168">
        <v>3</v>
      </c>
      <c r="D4" s="228"/>
      <c r="E4" s="232"/>
      <c r="F4" s="223"/>
      <c r="G4" s="233"/>
      <c r="H4" s="52"/>
      <c r="I4" s="52"/>
      <c r="J4" s="52"/>
      <c r="K4" s="137"/>
      <c r="L4" s="270"/>
      <c r="M4" s="271"/>
      <c r="N4" s="92" t="s">
        <v>469</v>
      </c>
      <c r="O4" s="92">
        <f>SUM(F3:H34)</f>
        <v>52.75</v>
      </c>
    </row>
    <row r="5" spans="1:19" ht="30.75">
      <c r="A5" s="140">
        <v>45964</v>
      </c>
      <c r="C5" s="168"/>
      <c r="D5" s="228"/>
      <c r="E5" s="232"/>
      <c r="F5" s="230"/>
      <c r="G5" s="238">
        <v>2.5</v>
      </c>
      <c r="H5" s="52"/>
      <c r="I5" s="52"/>
      <c r="J5" s="52"/>
      <c r="K5" s="137" t="s">
        <v>638</v>
      </c>
      <c r="L5" s="322" t="s">
        <v>671</v>
      </c>
      <c r="M5" s="273"/>
      <c r="P5" s="134"/>
    </row>
    <row r="6" spans="1:19" ht="16.5">
      <c r="A6" s="140">
        <v>45965</v>
      </c>
      <c r="B6" s="166"/>
      <c r="C6" s="168"/>
      <c r="D6" s="229"/>
      <c r="E6" s="232"/>
      <c r="F6" s="223">
        <v>0.5</v>
      </c>
      <c r="G6" s="233"/>
      <c r="H6" s="52">
        <v>1</v>
      </c>
      <c r="I6" s="52"/>
      <c r="J6" s="52"/>
      <c r="K6" s="137"/>
      <c r="L6" s="279" t="s">
        <v>636</v>
      </c>
      <c r="M6" s="271">
        <v>2.5</v>
      </c>
      <c r="N6" s="54" t="s">
        <v>129</v>
      </c>
      <c r="O6" s="54" t="s">
        <v>132</v>
      </c>
      <c r="P6" s="318">
        <v>-6</v>
      </c>
      <c r="Q6" s="286" t="s">
        <v>350</v>
      </c>
      <c r="R6" s="286">
        <v>10</v>
      </c>
    </row>
    <row r="7" spans="1:19" ht="16.5">
      <c r="A7" s="140">
        <v>45966</v>
      </c>
      <c r="B7" s="166"/>
      <c r="C7" s="168"/>
      <c r="D7" s="215"/>
      <c r="E7" s="232"/>
      <c r="F7" s="223"/>
      <c r="G7" s="233"/>
      <c r="H7" s="52"/>
      <c r="I7" s="52"/>
      <c r="J7" s="52"/>
      <c r="K7" s="137"/>
      <c r="L7" s="288" t="s">
        <v>637</v>
      </c>
      <c r="M7" s="271">
        <v>6</v>
      </c>
      <c r="N7" s="107" t="s">
        <v>553</v>
      </c>
      <c r="O7" s="108" t="s">
        <v>398</v>
      </c>
      <c r="P7" s="318">
        <v>-8</v>
      </c>
      <c r="Q7" s="286" t="s">
        <v>351</v>
      </c>
      <c r="R7" s="286">
        <v>20</v>
      </c>
    </row>
    <row r="8" spans="1:19" ht="16.5">
      <c r="A8" s="140">
        <v>45967</v>
      </c>
      <c r="B8" s="166">
        <v>2.5</v>
      </c>
      <c r="C8" s="168"/>
      <c r="D8" s="215"/>
      <c r="E8" s="232">
        <v>0.5</v>
      </c>
      <c r="F8" s="223">
        <v>1.5</v>
      </c>
      <c r="G8" s="233"/>
      <c r="H8" s="52">
        <v>0.5</v>
      </c>
      <c r="I8" s="52">
        <v>2.5</v>
      </c>
      <c r="J8" s="52"/>
      <c r="K8" s="137"/>
      <c r="L8" s="290" t="s">
        <v>646</v>
      </c>
      <c r="M8" s="271">
        <v>6.75</v>
      </c>
      <c r="N8" s="148" t="s">
        <v>600</v>
      </c>
      <c r="O8" s="119" t="s">
        <v>601</v>
      </c>
      <c r="Q8" s="286" t="s">
        <v>549</v>
      </c>
      <c r="R8" s="286">
        <v>30</v>
      </c>
    </row>
    <row r="9" spans="1:19" ht="16.5">
      <c r="A9" s="140">
        <v>45968</v>
      </c>
      <c r="B9" s="166">
        <v>2.5</v>
      </c>
      <c r="C9" s="168"/>
      <c r="D9" s="215">
        <v>0.5</v>
      </c>
      <c r="E9" s="232"/>
      <c r="F9" s="223"/>
      <c r="G9" s="233"/>
      <c r="H9" s="52"/>
      <c r="I9" s="52">
        <v>2.5</v>
      </c>
      <c r="J9" s="52"/>
      <c r="K9" s="137"/>
      <c r="L9" s="277" t="s">
        <v>639</v>
      </c>
      <c r="M9" s="271">
        <v>1.5</v>
      </c>
      <c r="N9" s="108" t="s">
        <v>602</v>
      </c>
      <c r="O9" s="108" t="s">
        <v>650</v>
      </c>
      <c r="Q9" s="287" t="s">
        <v>352</v>
      </c>
      <c r="R9" s="287">
        <v>20</v>
      </c>
    </row>
    <row r="10" spans="1:19" ht="16.5">
      <c r="A10" s="140">
        <v>45969</v>
      </c>
      <c r="B10" s="166"/>
      <c r="C10" s="168">
        <v>1</v>
      </c>
      <c r="D10" s="215"/>
      <c r="E10" s="232"/>
      <c r="F10" s="223"/>
      <c r="G10" s="233">
        <v>5</v>
      </c>
      <c r="H10" s="321"/>
      <c r="I10" s="321"/>
      <c r="J10" s="321"/>
      <c r="K10" s="137" t="s">
        <v>648</v>
      </c>
      <c r="L10" s="277" t="s">
        <v>672</v>
      </c>
      <c r="M10" s="271">
        <v>8.5</v>
      </c>
      <c r="N10" s="297" t="s">
        <v>604</v>
      </c>
      <c r="O10" s="298" t="s">
        <v>605</v>
      </c>
      <c r="Q10" s="287" t="s">
        <v>353</v>
      </c>
      <c r="R10" s="287">
        <v>10</v>
      </c>
    </row>
    <row r="11" spans="1:19" ht="16.5">
      <c r="A11" s="140">
        <v>45970</v>
      </c>
      <c r="B11" s="166">
        <v>8.5</v>
      </c>
      <c r="C11" s="168">
        <v>3</v>
      </c>
      <c r="D11" s="232">
        <v>1.5</v>
      </c>
      <c r="F11" s="223">
        <v>0.75</v>
      </c>
      <c r="G11" s="233"/>
      <c r="H11" s="321"/>
      <c r="J11" s="321">
        <v>8.5</v>
      </c>
      <c r="K11" s="137" t="s">
        <v>645</v>
      </c>
      <c r="L11" s="277" t="s">
        <v>673</v>
      </c>
      <c r="M11" s="276">
        <v>3.5</v>
      </c>
      <c r="N11" s="318" t="s">
        <v>606</v>
      </c>
      <c r="O11" s="134" t="s">
        <v>607</v>
      </c>
      <c r="Q11" s="287" t="s">
        <v>136</v>
      </c>
      <c r="R11" s="287">
        <v>15</v>
      </c>
    </row>
    <row r="12" spans="1:19" ht="16.5">
      <c r="A12" s="140">
        <v>45971</v>
      </c>
      <c r="B12" s="166"/>
      <c r="C12" s="168"/>
      <c r="D12" s="215">
        <v>2.75</v>
      </c>
      <c r="E12" s="239"/>
      <c r="F12" s="223">
        <v>0.5</v>
      </c>
      <c r="G12" s="233"/>
      <c r="H12" s="321">
        <v>0.5</v>
      </c>
      <c r="I12" s="321"/>
      <c r="J12" s="321"/>
      <c r="K12" s="137" t="s">
        <v>657</v>
      </c>
      <c r="L12" s="277" t="s">
        <v>667</v>
      </c>
      <c r="M12" s="271">
        <v>2.75</v>
      </c>
      <c r="N12" s="148" t="s">
        <v>608</v>
      </c>
      <c r="O12" s="119" t="s">
        <v>609</v>
      </c>
      <c r="Q12" s="289"/>
      <c r="R12" s="289"/>
    </row>
    <row r="13" spans="1:19" ht="16.5">
      <c r="A13" s="140">
        <v>45972</v>
      </c>
      <c r="B13" s="299">
        <v>3</v>
      </c>
      <c r="C13" s="300"/>
      <c r="D13" s="301">
        <v>1</v>
      </c>
      <c r="E13" s="302"/>
      <c r="F13" s="303"/>
      <c r="G13" s="304">
        <v>1.5</v>
      </c>
      <c r="H13" s="305"/>
      <c r="I13" s="305">
        <v>3</v>
      </c>
      <c r="J13" s="305"/>
      <c r="K13" s="303" t="s">
        <v>656</v>
      </c>
      <c r="L13" s="279" t="s">
        <v>282</v>
      </c>
      <c r="M13" s="271">
        <v>3</v>
      </c>
      <c r="N13" s="318" t="s">
        <v>400</v>
      </c>
      <c r="Q13" s="289" t="s">
        <v>554</v>
      </c>
      <c r="R13" s="289">
        <v>15</v>
      </c>
    </row>
    <row r="14" spans="1:19" ht="18" customHeight="1">
      <c r="A14" s="140">
        <v>45973</v>
      </c>
      <c r="B14" s="166">
        <v>2.5</v>
      </c>
      <c r="C14" s="168"/>
      <c r="D14" s="215"/>
      <c r="E14" s="234"/>
      <c r="F14" s="235">
        <v>0.5</v>
      </c>
      <c r="G14" s="236"/>
      <c r="H14" s="321">
        <v>1</v>
      </c>
      <c r="I14" s="321">
        <v>2.5</v>
      </c>
      <c r="J14" s="321"/>
      <c r="K14" s="137"/>
      <c r="L14" s="279" t="s">
        <v>658</v>
      </c>
      <c r="M14" s="271">
        <v>1</v>
      </c>
      <c r="N14" s="120" t="s">
        <v>401</v>
      </c>
      <c r="O14" s="120" t="s">
        <v>79</v>
      </c>
      <c r="P14" s="318">
        <v>-3</v>
      </c>
      <c r="Q14" s="319" t="s">
        <v>354</v>
      </c>
      <c r="R14" s="319">
        <f>SUM(R6:R13)/60</f>
        <v>2</v>
      </c>
    </row>
    <row r="15" spans="1:19" ht="16.5">
      <c r="A15" s="140">
        <v>45974</v>
      </c>
      <c r="B15" s="166"/>
      <c r="C15" s="168"/>
      <c r="D15" s="215"/>
      <c r="E15" s="222"/>
      <c r="F15" s="223"/>
      <c r="G15" s="224">
        <v>4</v>
      </c>
      <c r="H15" s="321"/>
      <c r="I15" s="321"/>
      <c r="J15" s="321"/>
      <c r="K15" s="137" t="s">
        <v>663</v>
      </c>
      <c r="L15" s="279" t="s">
        <v>659</v>
      </c>
      <c r="M15" s="271">
        <v>3.5</v>
      </c>
      <c r="N15" s="120" t="s">
        <v>278</v>
      </c>
      <c r="O15" s="120" t="s">
        <v>402</v>
      </c>
    </row>
    <row r="16" spans="1:19" ht="16.5">
      <c r="A16" s="140">
        <v>45975</v>
      </c>
      <c r="B16" s="166"/>
      <c r="C16" s="168"/>
      <c r="D16" s="216"/>
      <c r="E16" s="222"/>
      <c r="F16" s="223"/>
      <c r="G16" s="224">
        <v>3</v>
      </c>
      <c r="H16" s="321"/>
      <c r="I16" s="321"/>
      <c r="J16" s="321"/>
      <c r="K16" s="137" t="s">
        <v>282</v>
      </c>
      <c r="L16" s="279" t="s">
        <v>664</v>
      </c>
      <c r="M16" s="271">
        <v>0.75</v>
      </c>
      <c r="N16" s="120" t="s">
        <v>275</v>
      </c>
      <c r="O16" s="120" t="s">
        <v>307</v>
      </c>
    </row>
    <row r="17" spans="1:16" ht="16.5">
      <c r="A17" s="140">
        <v>45976</v>
      </c>
      <c r="B17" s="166">
        <v>0.75</v>
      </c>
      <c r="C17" s="168">
        <v>0.5</v>
      </c>
      <c r="D17" s="217">
        <v>1</v>
      </c>
      <c r="E17" s="222">
        <v>5</v>
      </c>
      <c r="F17" s="223">
        <v>1.5</v>
      </c>
      <c r="G17" s="224"/>
      <c r="I17" s="318">
        <v>0.75</v>
      </c>
      <c r="K17" s="318" t="s">
        <v>744</v>
      </c>
      <c r="L17" s="277" t="s">
        <v>665</v>
      </c>
      <c r="M17" s="271">
        <v>0.5</v>
      </c>
    </row>
    <row r="18" spans="1:16" ht="16.5">
      <c r="A18" s="140">
        <v>45977</v>
      </c>
      <c r="B18" s="166">
        <v>3.75</v>
      </c>
      <c r="C18" s="168">
        <v>2</v>
      </c>
      <c r="D18" s="215">
        <v>1.25</v>
      </c>
      <c r="E18" s="222"/>
      <c r="F18" s="223">
        <v>1.5</v>
      </c>
      <c r="G18" s="224">
        <v>0.5</v>
      </c>
      <c r="H18" s="321">
        <v>1</v>
      </c>
      <c r="I18" s="321">
        <v>3.75</v>
      </c>
      <c r="J18" s="321"/>
      <c r="K18" s="262" t="s">
        <v>661</v>
      </c>
      <c r="L18" s="279" t="s">
        <v>49</v>
      </c>
      <c r="M18" s="271">
        <v>5</v>
      </c>
      <c r="N18" s="147"/>
    </row>
    <row r="19" spans="1:16" ht="16.5">
      <c r="A19" s="140">
        <v>45978</v>
      </c>
      <c r="B19" s="166"/>
      <c r="C19" s="168">
        <v>0.5</v>
      </c>
      <c r="D19" s="215"/>
      <c r="E19" s="222"/>
      <c r="F19" s="223">
        <v>0.5</v>
      </c>
      <c r="G19" s="224">
        <v>4.5</v>
      </c>
      <c r="H19" s="321">
        <v>1.5</v>
      </c>
      <c r="I19" s="321"/>
      <c r="J19" s="321"/>
      <c r="K19" s="262" t="s">
        <v>660</v>
      </c>
      <c r="L19" s="306" t="s">
        <v>640</v>
      </c>
      <c r="M19" s="307">
        <v>0.5</v>
      </c>
      <c r="N19" s="317"/>
      <c r="O19" s="317"/>
      <c r="P19" s="317"/>
    </row>
    <row r="20" spans="1:16" ht="16.5">
      <c r="A20" s="140">
        <v>45979</v>
      </c>
      <c r="B20" s="166">
        <v>4</v>
      </c>
      <c r="C20" s="168">
        <v>0.2</v>
      </c>
      <c r="D20" s="218">
        <v>0.5</v>
      </c>
      <c r="E20" s="222"/>
      <c r="F20" s="223">
        <v>0.5</v>
      </c>
      <c r="G20" s="224"/>
      <c r="H20" s="321">
        <v>0.5</v>
      </c>
      <c r="I20" s="321"/>
      <c r="J20" s="321">
        <v>4</v>
      </c>
      <c r="K20" s="137"/>
      <c r="L20" s="279" t="s">
        <v>517</v>
      </c>
      <c r="M20" s="277">
        <v>0.5</v>
      </c>
      <c r="N20" s="409"/>
      <c r="O20" s="343"/>
      <c r="P20" s="317"/>
    </row>
    <row r="21" spans="1:16" ht="16.5">
      <c r="A21" s="140">
        <v>45980</v>
      </c>
      <c r="B21" s="166">
        <v>2</v>
      </c>
      <c r="C21" s="168"/>
      <c r="D21" s="215">
        <v>0.5</v>
      </c>
      <c r="E21" s="222"/>
      <c r="F21" s="223">
        <v>0.75</v>
      </c>
      <c r="G21" s="224">
        <v>2.25</v>
      </c>
      <c r="H21" s="321"/>
      <c r="I21" s="321"/>
      <c r="J21" s="321"/>
      <c r="K21" s="137" t="s">
        <v>666</v>
      </c>
      <c r="L21" s="280" t="s">
        <v>662</v>
      </c>
      <c r="M21" s="273">
        <v>0.5</v>
      </c>
      <c r="N21" s="317"/>
      <c r="O21" s="320"/>
      <c r="P21" s="320"/>
    </row>
    <row r="22" spans="1:16" ht="16.5">
      <c r="A22" s="140">
        <v>45981</v>
      </c>
      <c r="B22" s="166"/>
      <c r="C22" s="168"/>
      <c r="D22" s="215"/>
      <c r="E22" s="222"/>
      <c r="F22" s="223"/>
      <c r="G22" s="224"/>
      <c r="H22" s="321"/>
      <c r="I22" s="321"/>
      <c r="J22" s="321"/>
      <c r="K22" s="137"/>
      <c r="L22" s="280" t="s">
        <v>668</v>
      </c>
      <c r="M22" s="276">
        <v>1.5</v>
      </c>
      <c r="N22" s="320"/>
      <c r="O22" s="320"/>
      <c r="P22" s="320"/>
    </row>
    <row r="23" spans="1:16" ht="16.5">
      <c r="A23" s="140">
        <v>45982</v>
      </c>
      <c r="B23" s="166"/>
      <c r="C23" s="168"/>
      <c r="D23" s="215"/>
      <c r="E23" s="222"/>
      <c r="F23" s="223"/>
      <c r="G23" s="224"/>
      <c r="H23" s="321"/>
      <c r="I23" s="321"/>
      <c r="J23" s="321"/>
      <c r="K23" s="137"/>
      <c r="L23" s="278" t="s">
        <v>670</v>
      </c>
      <c r="M23" s="273">
        <v>0.5</v>
      </c>
      <c r="N23" s="320"/>
      <c r="O23" s="320"/>
      <c r="P23" s="320"/>
    </row>
    <row r="24" spans="1:16" ht="16.5">
      <c r="A24" s="140">
        <v>45983</v>
      </c>
      <c r="B24" s="166"/>
      <c r="C24" s="168"/>
      <c r="D24" s="215"/>
      <c r="E24" s="222"/>
      <c r="F24" s="223"/>
      <c r="G24" s="224"/>
      <c r="H24" s="321"/>
      <c r="I24" s="321"/>
      <c r="J24" s="321"/>
      <c r="K24" s="137"/>
      <c r="L24" s="278"/>
      <c r="M24" s="273"/>
      <c r="N24" s="320"/>
      <c r="P24" s="320"/>
    </row>
    <row r="25" spans="1:16" ht="16.5">
      <c r="A25" s="140">
        <v>45984</v>
      </c>
      <c r="B25" s="166"/>
      <c r="C25" s="168"/>
      <c r="D25" s="215"/>
      <c r="E25" s="222"/>
      <c r="F25" s="223"/>
      <c r="G25" s="224"/>
      <c r="K25" s="137"/>
      <c r="L25" s="249" t="s">
        <v>495</v>
      </c>
      <c r="M25" s="250">
        <f>SUM(M4:M24)</f>
        <v>48.75</v>
      </c>
    </row>
    <row r="26" spans="1:16" ht="16.5">
      <c r="A26" s="140">
        <v>45985</v>
      </c>
      <c r="B26" s="166"/>
      <c r="C26" s="168"/>
      <c r="D26" s="215"/>
      <c r="E26" s="222"/>
      <c r="F26" s="223"/>
      <c r="G26" s="224"/>
      <c r="H26" s="321"/>
      <c r="I26" s="321"/>
      <c r="J26" s="321"/>
      <c r="K26" s="137"/>
      <c r="L26" s="55"/>
      <c r="M26" s="48"/>
    </row>
    <row r="27" spans="1:16" ht="16.5">
      <c r="A27" s="140">
        <v>45986</v>
      </c>
      <c r="B27" s="166"/>
      <c r="C27" s="168"/>
      <c r="D27" s="219"/>
      <c r="E27" s="222"/>
      <c r="F27" s="223"/>
      <c r="G27" s="224"/>
      <c r="H27" s="321"/>
      <c r="I27" s="321"/>
      <c r="J27" s="321"/>
      <c r="K27" s="137"/>
      <c r="L27" s="321"/>
      <c r="P27" s="318">
        <v>3</v>
      </c>
    </row>
    <row r="28" spans="1:16" ht="15.75" customHeight="1">
      <c r="A28" s="140">
        <v>45987</v>
      </c>
      <c r="B28" s="166"/>
      <c r="C28" s="168"/>
      <c r="D28" s="220"/>
      <c r="E28" s="222"/>
      <c r="F28" s="223"/>
      <c r="G28" s="224"/>
      <c r="H28" s="321"/>
      <c r="I28" s="321"/>
      <c r="J28" s="321"/>
      <c r="K28" s="137"/>
      <c r="L28" s="410" t="s">
        <v>647</v>
      </c>
      <c r="M28" s="408"/>
      <c r="N28" s="408"/>
      <c r="O28" s="408"/>
      <c r="P28" s="408"/>
    </row>
    <row r="29" spans="1:16" ht="22.5" customHeight="1">
      <c r="A29" s="140">
        <v>45988</v>
      </c>
      <c r="B29" s="166">
        <v>3</v>
      </c>
      <c r="C29" s="168"/>
      <c r="D29" s="215"/>
      <c r="E29" s="222"/>
      <c r="F29" s="223">
        <v>1</v>
      </c>
      <c r="G29" s="224"/>
      <c r="H29" s="321">
        <v>1</v>
      </c>
      <c r="I29" s="321"/>
      <c r="J29" s="321">
        <v>3</v>
      </c>
      <c r="K29" s="137"/>
      <c r="L29" s="408"/>
      <c r="M29" s="408"/>
      <c r="N29" s="408"/>
      <c r="O29" s="408"/>
      <c r="P29" s="408"/>
    </row>
    <row r="30" spans="1:16" ht="21.75" customHeight="1">
      <c r="A30" s="140">
        <v>45989</v>
      </c>
      <c r="B30" s="166">
        <v>5</v>
      </c>
      <c r="C30" s="168">
        <v>0.25</v>
      </c>
      <c r="D30" s="215">
        <v>0.4</v>
      </c>
      <c r="E30" s="222"/>
      <c r="F30" s="223"/>
      <c r="G30" s="224"/>
      <c r="H30" s="321"/>
      <c r="I30" s="321"/>
      <c r="J30" s="321">
        <v>5</v>
      </c>
      <c r="K30" s="137"/>
      <c r="L30" s="318" t="s">
        <v>320</v>
      </c>
      <c r="P30" s="318">
        <v>5</v>
      </c>
    </row>
    <row r="31" spans="1:16" ht="16.5">
      <c r="A31" s="140">
        <v>45990</v>
      </c>
      <c r="B31" s="166">
        <v>3</v>
      </c>
      <c r="C31" s="168">
        <v>2</v>
      </c>
      <c r="D31" s="215">
        <v>1</v>
      </c>
      <c r="E31" s="222">
        <v>0.5</v>
      </c>
      <c r="F31" s="223">
        <v>2</v>
      </c>
      <c r="G31" s="224">
        <v>1.5</v>
      </c>
      <c r="H31" s="321">
        <v>1.5</v>
      </c>
      <c r="I31" s="321"/>
      <c r="J31" s="321">
        <v>1</v>
      </c>
      <c r="K31" s="137" t="s">
        <v>669</v>
      </c>
    </row>
    <row r="32" spans="1:16" ht="16.5">
      <c r="A32" s="140">
        <v>45991</v>
      </c>
      <c r="B32" s="166">
        <v>5.15</v>
      </c>
      <c r="C32" s="168">
        <v>1.5</v>
      </c>
      <c r="D32" s="215">
        <v>0.5</v>
      </c>
      <c r="E32" s="222">
        <v>2</v>
      </c>
      <c r="F32" s="223">
        <v>2</v>
      </c>
      <c r="G32" s="224"/>
      <c r="H32" s="321"/>
      <c r="I32" s="321">
        <v>2</v>
      </c>
      <c r="J32" s="321">
        <v>2</v>
      </c>
      <c r="K32" s="137" t="s">
        <v>674</v>
      </c>
    </row>
    <row r="33" spans="1:16" ht="16.5">
      <c r="A33" s="140"/>
      <c r="B33" s="166"/>
      <c r="C33" s="169"/>
      <c r="D33" s="221"/>
      <c r="E33" s="225"/>
      <c r="F33" s="226">
        <v>0</v>
      </c>
      <c r="G33" s="227">
        <v>6</v>
      </c>
      <c r="H33" s="321"/>
      <c r="I33" s="321"/>
      <c r="J33" s="321"/>
      <c r="K33" s="137" t="s">
        <v>597</v>
      </c>
      <c r="L33" s="321"/>
      <c r="P33" s="321"/>
    </row>
    <row r="34" spans="1:16" ht="16.5">
      <c r="A34" s="140"/>
      <c r="B34" s="321"/>
      <c r="C34" s="321"/>
      <c r="D34" s="321"/>
      <c r="E34" s="321"/>
      <c r="F34" s="82"/>
      <c r="G34" s="82"/>
      <c r="H34" s="321"/>
      <c r="I34" s="321"/>
      <c r="J34" s="321"/>
      <c r="K34" s="321"/>
    </row>
    <row r="35" spans="1:16">
      <c r="A35" s="318" t="s">
        <v>120</v>
      </c>
      <c r="B35" s="318">
        <v>3</v>
      </c>
    </row>
    <row r="55" spans="5:5">
      <c r="E55" s="51"/>
    </row>
    <row r="56" spans="5:5">
      <c r="E56" s="51"/>
    </row>
    <row r="58" spans="5:5">
      <c r="E58" s="51"/>
    </row>
  </sheetData>
  <mergeCells count="2">
    <mergeCell ref="N20:O20"/>
    <mergeCell ref="L28:P29"/>
  </mergeCells>
  <conditionalFormatting sqref="B3:B4 B6:B33">
    <cfRule type="cellIs" dxfId="17" priority="2" operator="lessThan">
      <formula>$B$35</formula>
    </cfRule>
    <cfRule type="cellIs" dxfId="16" priority="3" operator="between">
      <formula>$B$35</formula>
      <formula>3</formula>
    </cfRule>
    <cfRule type="cellIs" dxfId="15" priority="4" operator="greaterThan">
      <formula>$B$35</formula>
    </cfRule>
  </conditionalFormatting>
  <conditionalFormatting sqref="A3:A34">
    <cfRule type="expression" dxfId="14" priority="1">
      <formula>WEEKDAY(A3,2)&gt;5</formula>
    </cfRule>
  </conditionalFormatting>
  <pageMargins left="0.7" right="0.7" top="0.75" bottom="0.75" header="0.3" footer="0.3"/>
  <pageSetup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8"/>
  <sheetViews>
    <sheetView tabSelected="1" zoomScaleNormal="100" workbookViewId="0">
      <pane ySplit="1" topLeftCell="A8" activePane="bottomLeft" state="frozen"/>
      <selection pane="bottomLeft" activeCell="K14" sqref="K14"/>
    </sheetView>
  </sheetViews>
  <sheetFormatPr defaultColWidth="9.140625" defaultRowHeight="15"/>
  <cols>
    <col min="1" max="1" width="8.85546875" style="151" customWidth="1"/>
    <col min="2" max="2" width="6.28515625" style="151" customWidth="1"/>
    <col min="3" max="3" width="8.42578125" style="151" customWidth="1"/>
    <col min="4" max="4" width="6.42578125" style="151" customWidth="1"/>
    <col min="5" max="5" width="6.28515625" style="151" customWidth="1"/>
    <col min="6" max="7" width="9.140625" style="151" customWidth="1"/>
    <col min="8" max="8" width="6.42578125" style="151" customWidth="1"/>
    <col min="9" max="9" width="6.42578125" style="315" customWidth="1"/>
    <col min="10" max="10" width="11.85546875" style="335" customWidth="1"/>
    <col min="11" max="11" width="67.42578125" style="151" customWidth="1"/>
    <col min="12" max="12" width="50.85546875" style="151" customWidth="1"/>
    <col min="13" max="13" width="15.5703125" style="151" customWidth="1"/>
    <col min="14" max="14" width="19.85546875" style="151" bestFit="1" customWidth="1"/>
    <col min="15" max="15" width="12.42578125" style="151" customWidth="1"/>
    <col min="16" max="16" width="5.140625" style="151" customWidth="1"/>
    <col min="17" max="16384" width="9.140625" style="151"/>
  </cols>
  <sheetData>
    <row r="1" spans="1:19" ht="58.5" customHeight="1" thickBot="1">
      <c r="A1" s="38" t="s">
        <v>109</v>
      </c>
      <c r="B1" s="39" t="s">
        <v>1</v>
      </c>
      <c r="C1" s="156" t="s">
        <v>328</v>
      </c>
      <c r="D1" s="156" t="s">
        <v>344</v>
      </c>
      <c r="E1" s="157" t="s">
        <v>313</v>
      </c>
      <c r="F1" s="78" t="s">
        <v>359</v>
      </c>
      <c r="G1" s="78" t="s">
        <v>7</v>
      </c>
      <c r="H1" s="77" t="s">
        <v>403</v>
      </c>
      <c r="I1" s="77" t="s">
        <v>655</v>
      </c>
      <c r="J1" s="77" t="s">
        <v>702</v>
      </c>
      <c r="K1" s="130"/>
      <c r="L1" s="56" t="s">
        <v>11</v>
      </c>
      <c r="M1" s="88"/>
      <c r="N1" s="89" t="s">
        <v>218</v>
      </c>
      <c r="O1" s="90">
        <f>SUM(B3:B33)</f>
        <v>72</v>
      </c>
      <c r="P1" s="411" t="s">
        <v>693</v>
      </c>
      <c r="Q1" s="412"/>
      <c r="R1" s="412"/>
      <c r="S1" s="412"/>
    </row>
    <row r="2" spans="1:19" ht="18" thickTop="1" thickBot="1">
      <c r="B2" s="333">
        <f t="shared" ref="B2:E2" si="0">SUM(B3:B33)</f>
        <v>72</v>
      </c>
      <c r="C2" s="325">
        <f t="shared" si="0"/>
        <v>24.95</v>
      </c>
      <c r="D2" s="325">
        <f t="shared" si="0"/>
        <v>12.4</v>
      </c>
      <c r="E2" s="325">
        <f t="shared" si="0"/>
        <v>55.25</v>
      </c>
      <c r="F2" s="296">
        <f>SUM(F3:F33)</f>
        <v>31.75</v>
      </c>
      <c r="G2" s="323">
        <f t="shared" ref="G2:H2" si="1">SUM(G3:G33)</f>
        <v>53.05</v>
      </c>
      <c r="H2" s="323">
        <f t="shared" si="1"/>
        <v>13.5</v>
      </c>
      <c r="I2" s="52"/>
      <c r="J2" s="52">
        <f>SUM(J3:J32)/60</f>
        <v>6.8166666666666664</v>
      </c>
      <c r="K2" s="261">
        <f>SUM(E2:G2)</f>
        <v>140.05000000000001</v>
      </c>
      <c r="L2" s="155"/>
      <c r="M2" s="151" t="s">
        <v>110</v>
      </c>
      <c r="N2" s="327" t="s">
        <v>219</v>
      </c>
      <c r="O2" s="305">
        <f>SUM(O3:O4)</f>
        <v>190.9</v>
      </c>
      <c r="P2" s="151">
        <f>SUM(P3:P80)</f>
        <v>49</v>
      </c>
    </row>
    <row r="3" spans="1:19" ht="17.25" thickTop="1">
      <c r="A3" s="140">
        <v>45992</v>
      </c>
      <c r="B3" s="166">
        <v>4</v>
      </c>
      <c r="C3" s="168">
        <v>0.75</v>
      </c>
      <c r="D3" s="228">
        <v>0.5</v>
      </c>
      <c r="E3" s="229"/>
      <c r="F3" s="237">
        <v>0.5</v>
      </c>
      <c r="G3" s="231">
        <v>3.5</v>
      </c>
      <c r="H3" s="151">
        <v>1</v>
      </c>
      <c r="I3" s="134">
        <v>4</v>
      </c>
      <c r="J3" s="134"/>
      <c r="K3" s="137" t="s">
        <v>678</v>
      </c>
      <c r="L3" s="57" t="s">
        <v>272</v>
      </c>
      <c r="M3" s="131" t="s">
        <v>277</v>
      </c>
      <c r="N3" s="326" t="s">
        <v>116</v>
      </c>
      <c r="O3" s="326">
        <f>SUM(C3:E33)</f>
        <v>92.600000000000009</v>
      </c>
      <c r="P3" s="151">
        <v>5</v>
      </c>
    </row>
    <row r="4" spans="1:19" ht="19.5" customHeight="1">
      <c r="A4" s="140">
        <v>45993</v>
      </c>
      <c r="B4" s="166">
        <v>5</v>
      </c>
      <c r="C4" s="168">
        <v>0.5</v>
      </c>
      <c r="D4" s="228"/>
      <c r="E4" s="232"/>
      <c r="F4" s="223">
        <v>1.75</v>
      </c>
      <c r="G4" s="233">
        <v>1</v>
      </c>
      <c r="H4" s="52"/>
      <c r="I4" s="52">
        <v>5</v>
      </c>
      <c r="J4" s="52"/>
      <c r="K4" s="137" t="s">
        <v>679</v>
      </c>
      <c r="L4" s="328"/>
      <c r="M4" s="271"/>
      <c r="N4" s="92" t="s">
        <v>469</v>
      </c>
      <c r="O4" s="92">
        <f>SUM(F3:H34)</f>
        <v>98.3</v>
      </c>
      <c r="P4" s="151">
        <v>7</v>
      </c>
    </row>
    <row r="5" spans="1:19" ht="30.75">
      <c r="A5" s="140">
        <v>45994</v>
      </c>
      <c r="B5" s="151">
        <v>3.25</v>
      </c>
      <c r="C5" s="168"/>
      <c r="D5" s="228"/>
      <c r="E5" s="232">
        <v>0.5</v>
      </c>
      <c r="F5" s="230">
        <v>0.75</v>
      </c>
      <c r="G5" s="238">
        <v>1</v>
      </c>
      <c r="H5" s="52">
        <v>1</v>
      </c>
      <c r="I5" s="52">
        <v>3.25</v>
      </c>
      <c r="J5" s="52"/>
      <c r="K5" s="137" t="s">
        <v>683</v>
      </c>
      <c r="L5" s="338" t="s">
        <v>728</v>
      </c>
      <c r="M5" s="273"/>
      <c r="P5" s="134"/>
    </row>
    <row r="6" spans="1:19" ht="16.5">
      <c r="A6" s="140">
        <v>45995</v>
      </c>
      <c r="B6" s="166">
        <v>3</v>
      </c>
      <c r="C6" s="168">
        <v>0.2</v>
      </c>
      <c r="D6" s="229">
        <v>0.2</v>
      </c>
      <c r="E6" s="232"/>
      <c r="F6" s="223"/>
      <c r="G6" s="233"/>
      <c r="H6" s="52"/>
      <c r="I6" s="52">
        <v>3</v>
      </c>
      <c r="J6" s="52"/>
      <c r="K6" s="137" t="s">
        <v>682</v>
      </c>
      <c r="L6" s="328" t="s">
        <v>681</v>
      </c>
      <c r="M6" s="271">
        <v>15</v>
      </c>
      <c r="N6" s="54" t="s">
        <v>129</v>
      </c>
      <c r="O6" s="54" t="s">
        <v>132</v>
      </c>
    </row>
    <row r="7" spans="1:19" ht="16.5">
      <c r="A7" s="140">
        <v>45996</v>
      </c>
      <c r="B7" s="166"/>
      <c r="C7" s="168">
        <v>5</v>
      </c>
      <c r="D7" s="215">
        <v>0.75</v>
      </c>
      <c r="E7" s="232"/>
      <c r="F7" s="223"/>
      <c r="G7" s="233"/>
      <c r="H7" s="52"/>
      <c r="I7" s="52"/>
      <c r="J7" s="52"/>
      <c r="K7" s="137" t="s">
        <v>688</v>
      </c>
      <c r="L7" s="330" t="s">
        <v>689</v>
      </c>
      <c r="M7" s="307"/>
      <c r="N7" s="107" t="s">
        <v>553</v>
      </c>
      <c r="O7" s="108" t="s">
        <v>398</v>
      </c>
    </row>
    <row r="8" spans="1:19" ht="16.5">
      <c r="A8" s="140">
        <v>45997</v>
      </c>
      <c r="B8" s="166">
        <v>0.5</v>
      </c>
      <c r="C8" s="168">
        <v>2</v>
      </c>
      <c r="D8" s="215"/>
      <c r="G8" s="331">
        <v>8</v>
      </c>
      <c r="K8" s="137" t="s">
        <v>687</v>
      </c>
      <c r="L8" s="240" t="s">
        <v>706</v>
      </c>
      <c r="M8" s="277">
        <v>42</v>
      </c>
      <c r="N8" s="148" t="s">
        <v>600</v>
      </c>
      <c r="O8" s="119" t="s">
        <v>601</v>
      </c>
    </row>
    <row r="9" spans="1:19" ht="16.5">
      <c r="A9" s="140">
        <v>45998</v>
      </c>
      <c r="B9" s="166">
        <v>1</v>
      </c>
      <c r="C9" s="168">
        <v>2</v>
      </c>
      <c r="D9" s="215"/>
      <c r="E9" s="232"/>
      <c r="F9" s="223">
        <v>3.5</v>
      </c>
      <c r="G9" s="233">
        <v>3.5</v>
      </c>
      <c r="H9" s="52">
        <v>1</v>
      </c>
      <c r="I9" s="52"/>
      <c r="J9" s="52"/>
      <c r="K9" s="137" t="s">
        <v>691</v>
      </c>
      <c r="L9" s="330" t="s">
        <v>684</v>
      </c>
      <c r="M9" s="271">
        <v>2</v>
      </c>
      <c r="N9" s="108" t="s">
        <v>602</v>
      </c>
      <c r="O9" s="108" t="s">
        <v>675</v>
      </c>
    </row>
    <row r="10" spans="1:19" ht="16.5">
      <c r="A10" s="140">
        <v>45999</v>
      </c>
      <c r="B10" s="166"/>
      <c r="C10" s="168"/>
      <c r="D10" s="215"/>
      <c r="E10" s="52">
        <v>2</v>
      </c>
      <c r="F10" s="223">
        <v>0.5</v>
      </c>
      <c r="G10" s="233"/>
      <c r="I10" s="52"/>
      <c r="J10" s="52"/>
      <c r="K10" s="137" t="s">
        <v>685</v>
      </c>
      <c r="L10" s="330" t="s">
        <v>734</v>
      </c>
      <c r="M10" s="271">
        <v>4.5</v>
      </c>
      <c r="N10" s="297" t="s">
        <v>604</v>
      </c>
      <c r="O10" s="298" t="s">
        <v>730</v>
      </c>
      <c r="P10" s="151">
        <v>2</v>
      </c>
    </row>
    <row r="11" spans="1:19" ht="16.5">
      <c r="A11" s="140">
        <v>46000</v>
      </c>
      <c r="B11" s="166">
        <v>4.5</v>
      </c>
      <c r="C11" s="168"/>
      <c r="D11" s="232">
        <v>0.5</v>
      </c>
      <c r="E11" s="151">
        <v>0.75</v>
      </c>
      <c r="F11" s="223">
        <v>1.25</v>
      </c>
      <c r="G11" s="233">
        <v>0.5</v>
      </c>
      <c r="H11" s="155"/>
      <c r="I11" s="314">
        <v>4.5</v>
      </c>
      <c r="J11" s="336"/>
      <c r="K11" s="137" t="s">
        <v>695</v>
      </c>
      <c r="L11" s="330" t="s">
        <v>699</v>
      </c>
      <c r="M11" s="276">
        <v>3</v>
      </c>
      <c r="N11" s="151" t="s">
        <v>606</v>
      </c>
      <c r="O11" s="134" t="s">
        <v>554</v>
      </c>
      <c r="P11" s="151">
        <v>-2</v>
      </c>
    </row>
    <row r="12" spans="1:19" ht="16.5">
      <c r="A12" s="140">
        <v>46001</v>
      </c>
      <c r="B12" s="166">
        <v>2</v>
      </c>
      <c r="C12" s="168"/>
      <c r="D12" s="215"/>
      <c r="E12" s="239">
        <v>2</v>
      </c>
      <c r="F12" s="223">
        <v>1</v>
      </c>
      <c r="G12" s="233">
        <v>0.5</v>
      </c>
      <c r="H12" s="155"/>
      <c r="I12" s="316"/>
      <c r="J12" s="336"/>
      <c r="K12" s="137" t="s">
        <v>694</v>
      </c>
      <c r="L12" s="330" t="s">
        <v>49</v>
      </c>
      <c r="M12" s="271">
        <v>2</v>
      </c>
      <c r="N12" s="148" t="s">
        <v>676</v>
      </c>
      <c r="O12" s="119" t="s">
        <v>609</v>
      </c>
      <c r="P12" s="151">
        <v>1.5</v>
      </c>
    </row>
    <row r="13" spans="1:19" ht="16.5">
      <c r="A13" s="140">
        <v>46002</v>
      </c>
      <c r="B13" s="299">
        <v>3</v>
      </c>
      <c r="C13" s="52"/>
      <c r="D13" s="52"/>
      <c r="E13" s="52"/>
      <c r="F13" s="52"/>
      <c r="G13" s="52"/>
      <c r="H13" s="52">
        <v>1</v>
      </c>
      <c r="I13" s="52">
        <v>3</v>
      </c>
      <c r="J13" s="52"/>
      <c r="K13" s="52" t="s">
        <v>692</v>
      </c>
      <c r="L13" s="240" t="s">
        <v>701</v>
      </c>
      <c r="M13" s="271">
        <v>1</v>
      </c>
      <c r="N13" s="151" t="s">
        <v>677</v>
      </c>
    </row>
    <row r="14" spans="1:19" ht="18" customHeight="1">
      <c r="A14" s="140">
        <v>46003</v>
      </c>
      <c r="B14" s="166">
        <v>3.25</v>
      </c>
      <c r="C14" s="168">
        <v>0.75</v>
      </c>
      <c r="D14" s="215"/>
      <c r="E14" s="234">
        <v>0.5</v>
      </c>
      <c r="F14" s="235"/>
      <c r="G14" s="236"/>
      <c r="H14" s="155"/>
      <c r="I14" s="316"/>
      <c r="J14" s="336"/>
      <c r="K14" s="137" t="s">
        <v>696</v>
      </c>
      <c r="L14" s="240" t="s">
        <v>724</v>
      </c>
      <c r="M14" s="271">
        <v>2</v>
      </c>
      <c r="N14" s="120" t="s">
        <v>401</v>
      </c>
      <c r="O14" s="120" t="s">
        <v>79</v>
      </c>
    </row>
    <row r="15" spans="1:19" ht="16.5">
      <c r="A15" s="140">
        <v>46004</v>
      </c>
      <c r="B15" s="166"/>
      <c r="C15" s="168"/>
      <c r="D15" s="215"/>
      <c r="E15" s="222">
        <v>3</v>
      </c>
      <c r="F15" s="223"/>
      <c r="G15" s="224">
        <v>5</v>
      </c>
      <c r="H15" s="155"/>
      <c r="I15" s="316"/>
      <c r="J15" s="336"/>
      <c r="K15" s="137" t="s">
        <v>700</v>
      </c>
      <c r="L15" s="240" t="s">
        <v>714</v>
      </c>
      <c r="M15" s="271">
        <v>5</v>
      </c>
      <c r="N15" s="120" t="s">
        <v>278</v>
      </c>
      <c r="O15" s="120" t="s">
        <v>402</v>
      </c>
    </row>
    <row r="16" spans="1:19" ht="16.5">
      <c r="A16" s="140">
        <v>46005</v>
      </c>
      <c r="B16" s="166"/>
      <c r="C16" s="168">
        <v>1</v>
      </c>
      <c r="D16" s="216"/>
      <c r="E16" s="222">
        <v>1</v>
      </c>
      <c r="F16" s="223">
        <v>1</v>
      </c>
      <c r="G16" s="224">
        <v>7</v>
      </c>
      <c r="H16" s="155"/>
      <c r="I16" s="316"/>
      <c r="J16" s="336"/>
      <c r="K16" s="137" t="s">
        <v>697</v>
      </c>
      <c r="L16" s="240" t="s">
        <v>249</v>
      </c>
      <c r="M16" s="271">
        <v>7</v>
      </c>
      <c r="N16" s="120" t="s">
        <v>275</v>
      </c>
      <c r="O16" s="120" t="s">
        <v>307</v>
      </c>
    </row>
    <row r="17" spans="1:16" ht="16.5">
      <c r="A17" s="140">
        <v>46006</v>
      </c>
      <c r="B17" s="166">
        <v>4</v>
      </c>
      <c r="C17" s="168"/>
      <c r="D17" s="217"/>
      <c r="E17" s="222">
        <v>2</v>
      </c>
      <c r="F17" s="223">
        <v>0.5</v>
      </c>
      <c r="G17" s="224">
        <v>1</v>
      </c>
      <c r="I17" s="315">
        <v>4</v>
      </c>
      <c r="J17" s="134">
        <v>32</v>
      </c>
      <c r="K17" s="137" t="s">
        <v>703</v>
      </c>
      <c r="L17" s="330" t="s">
        <v>741</v>
      </c>
      <c r="M17" s="271">
        <v>2.25</v>
      </c>
    </row>
    <row r="18" spans="1:16" ht="16.5">
      <c r="A18" s="140">
        <v>46007</v>
      </c>
      <c r="B18" s="166"/>
      <c r="C18" s="168"/>
      <c r="D18" s="215"/>
      <c r="E18" s="222"/>
      <c r="F18" s="223"/>
      <c r="G18" s="224"/>
      <c r="H18" s="155"/>
      <c r="I18" s="316"/>
      <c r="J18" s="336"/>
      <c r="K18" s="262"/>
      <c r="L18" s="240" t="s">
        <v>743</v>
      </c>
      <c r="M18" s="271">
        <v>3</v>
      </c>
      <c r="N18" s="147"/>
    </row>
    <row r="19" spans="1:16" ht="16.5">
      <c r="A19" s="140">
        <v>46008</v>
      </c>
      <c r="B19" s="166"/>
      <c r="C19" s="168"/>
      <c r="D19" s="215"/>
      <c r="E19" s="222"/>
      <c r="F19" s="223">
        <v>0.75</v>
      </c>
      <c r="G19" s="224"/>
      <c r="H19" s="155">
        <v>1.5</v>
      </c>
      <c r="I19" s="316"/>
      <c r="J19" s="336"/>
      <c r="K19" s="262" t="s">
        <v>704</v>
      </c>
      <c r="L19" s="330" t="s">
        <v>690</v>
      </c>
      <c r="M19" s="307">
        <v>7.75</v>
      </c>
      <c r="N19" s="286" t="s">
        <v>350</v>
      </c>
      <c r="O19" s="286">
        <v>10</v>
      </c>
      <c r="P19" s="153"/>
    </row>
    <row r="20" spans="1:16" ht="16.5">
      <c r="A20" s="140">
        <v>46009</v>
      </c>
      <c r="B20" s="166"/>
      <c r="C20" s="168"/>
      <c r="D20" s="218"/>
      <c r="E20" s="222">
        <v>8</v>
      </c>
      <c r="F20" s="223"/>
      <c r="G20" s="224"/>
      <c r="H20" s="155"/>
      <c r="I20" s="316"/>
      <c r="J20" s="336"/>
      <c r="K20" s="137" t="s">
        <v>705</v>
      </c>
      <c r="L20" s="334" t="s">
        <v>742</v>
      </c>
      <c r="M20" s="277">
        <v>6.5</v>
      </c>
      <c r="N20" s="286" t="s">
        <v>351</v>
      </c>
      <c r="O20" s="286">
        <v>20</v>
      </c>
      <c r="P20" s="153"/>
    </row>
    <row r="21" spans="1:16" ht="16.5">
      <c r="A21" s="140">
        <v>46010</v>
      </c>
      <c r="B21" s="166"/>
      <c r="C21" s="168"/>
      <c r="D21" s="215"/>
      <c r="E21" s="222">
        <v>8</v>
      </c>
      <c r="F21" s="223"/>
      <c r="G21" s="224"/>
      <c r="H21" s="155"/>
      <c r="I21" s="316"/>
      <c r="J21" s="336"/>
      <c r="K21" s="137" t="s">
        <v>705</v>
      </c>
      <c r="L21" s="332" t="s">
        <v>686</v>
      </c>
      <c r="M21" s="273">
        <v>11</v>
      </c>
      <c r="N21" s="286" t="s">
        <v>549</v>
      </c>
      <c r="O21" s="286">
        <v>30</v>
      </c>
      <c r="P21" s="152"/>
    </row>
    <row r="22" spans="1:16" ht="16.5">
      <c r="A22" s="140">
        <v>46011</v>
      </c>
      <c r="B22" s="166"/>
      <c r="C22" s="168"/>
      <c r="D22" s="215"/>
      <c r="E22" s="222">
        <v>8</v>
      </c>
      <c r="F22" s="223"/>
      <c r="G22" s="224"/>
      <c r="H22" s="155"/>
      <c r="I22" s="316"/>
      <c r="J22" s="336"/>
      <c r="K22" s="137" t="s">
        <v>705</v>
      </c>
      <c r="L22" s="332" t="s">
        <v>740</v>
      </c>
      <c r="M22" s="276">
        <v>17.25</v>
      </c>
      <c r="N22" s="287" t="s">
        <v>352</v>
      </c>
      <c r="O22" s="287">
        <v>20</v>
      </c>
      <c r="P22" s="152"/>
    </row>
    <row r="23" spans="1:16" ht="16.5">
      <c r="A23" s="140">
        <v>46012</v>
      </c>
      <c r="B23" s="166"/>
      <c r="C23" s="168"/>
      <c r="D23" s="215"/>
      <c r="E23" s="222">
        <v>8</v>
      </c>
      <c r="F23" s="223"/>
      <c r="G23" s="224"/>
      <c r="H23" s="155"/>
      <c r="I23" s="316"/>
      <c r="J23" s="336"/>
      <c r="K23" s="137" t="s">
        <v>705</v>
      </c>
      <c r="L23" s="337" t="s">
        <v>698</v>
      </c>
      <c r="M23" s="273">
        <v>6.5</v>
      </c>
      <c r="N23" s="287" t="s">
        <v>353</v>
      </c>
      <c r="O23" s="287">
        <v>10</v>
      </c>
      <c r="P23" s="152"/>
    </row>
    <row r="24" spans="1:16" ht="16.5">
      <c r="A24" s="140">
        <v>46013</v>
      </c>
      <c r="B24" s="166">
        <v>2</v>
      </c>
      <c r="C24" s="168"/>
      <c r="D24" s="215">
        <v>0.5</v>
      </c>
      <c r="E24" s="222">
        <v>6</v>
      </c>
      <c r="F24" s="223"/>
      <c r="G24" s="224">
        <v>1.75</v>
      </c>
      <c r="H24" s="155"/>
      <c r="I24" s="316"/>
      <c r="J24" s="336">
        <v>30</v>
      </c>
      <c r="K24" s="137" t="s">
        <v>707</v>
      </c>
      <c r="L24" s="329" t="s">
        <v>387</v>
      </c>
      <c r="M24" s="273">
        <v>3</v>
      </c>
      <c r="N24" s="287" t="s">
        <v>136</v>
      </c>
      <c r="O24" s="287">
        <v>15</v>
      </c>
      <c r="P24" s="291">
        <v>7</v>
      </c>
    </row>
    <row r="25" spans="1:16" ht="16.5">
      <c r="A25" s="140">
        <v>46014</v>
      </c>
      <c r="B25" s="166">
        <v>4.25</v>
      </c>
      <c r="C25" s="168">
        <v>0.75</v>
      </c>
      <c r="D25" s="215">
        <v>0.25</v>
      </c>
      <c r="E25" s="222"/>
      <c r="F25" s="223">
        <v>0.5</v>
      </c>
      <c r="G25" s="224">
        <v>0.3</v>
      </c>
      <c r="H25" s="151">
        <v>2</v>
      </c>
      <c r="J25" s="134">
        <v>30</v>
      </c>
      <c r="K25" s="137" t="s">
        <v>708</v>
      </c>
      <c r="L25" s="249" t="s">
        <v>495</v>
      </c>
      <c r="M25" s="250">
        <f>SUM(M4:M24)</f>
        <v>140.75</v>
      </c>
      <c r="N25" s="289"/>
      <c r="O25" s="289"/>
      <c r="P25" s="151">
        <v>6</v>
      </c>
    </row>
    <row r="26" spans="1:16" ht="16.5">
      <c r="A26" s="140">
        <v>46015</v>
      </c>
      <c r="B26" s="166">
        <v>3.25</v>
      </c>
      <c r="C26" s="168">
        <v>0.5</v>
      </c>
      <c r="D26" s="215">
        <v>1.3</v>
      </c>
      <c r="E26" s="222"/>
      <c r="F26" s="223"/>
      <c r="G26" s="224">
        <v>1.75</v>
      </c>
      <c r="H26" s="155"/>
      <c r="I26" s="316">
        <v>24</v>
      </c>
      <c r="J26" s="336">
        <v>24</v>
      </c>
      <c r="K26" s="137" t="s">
        <v>709</v>
      </c>
      <c r="L26" s="55"/>
      <c r="M26" s="48"/>
      <c r="N26" s="289" t="s">
        <v>554</v>
      </c>
      <c r="O26" s="289">
        <v>15</v>
      </c>
      <c r="P26" s="151">
        <v>1.5</v>
      </c>
    </row>
    <row r="27" spans="1:16" ht="16.5">
      <c r="A27" s="140">
        <v>46016</v>
      </c>
      <c r="B27" s="166">
        <v>4.25</v>
      </c>
      <c r="C27" s="168">
        <v>2.75</v>
      </c>
      <c r="D27" s="219">
        <v>0.25</v>
      </c>
      <c r="E27" s="222">
        <v>5</v>
      </c>
      <c r="F27" s="223"/>
      <c r="G27" s="224"/>
      <c r="H27" s="155"/>
      <c r="I27" s="316"/>
      <c r="J27" s="336">
        <v>90</v>
      </c>
      <c r="K27" s="137" t="s">
        <v>723</v>
      </c>
      <c r="L27" s="155"/>
      <c r="N27" s="154" t="s">
        <v>354</v>
      </c>
      <c r="O27" s="154">
        <f>SUM(O19:O26)/60</f>
        <v>2</v>
      </c>
    </row>
    <row r="28" spans="1:16" ht="37.5" customHeight="1" thickBot="1">
      <c r="A28" s="140">
        <v>46017</v>
      </c>
      <c r="B28" s="339">
        <v>0.75</v>
      </c>
      <c r="C28" s="168">
        <v>1</v>
      </c>
      <c r="D28" s="220">
        <v>1</v>
      </c>
      <c r="E28" s="222"/>
      <c r="F28" s="223"/>
      <c r="G28" s="224">
        <v>6.5</v>
      </c>
      <c r="H28" s="155">
        <v>1.5</v>
      </c>
      <c r="I28" s="316"/>
      <c r="J28" s="336">
        <v>15</v>
      </c>
      <c r="K28" s="340" t="s">
        <v>725</v>
      </c>
      <c r="L28" s="324" t="s">
        <v>729</v>
      </c>
      <c r="M28" s="324"/>
      <c r="N28" s="324"/>
      <c r="O28" s="324"/>
      <c r="P28" s="324">
        <v>7</v>
      </c>
    </row>
    <row r="29" spans="1:16" ht="22.5" customHeight="1" thickTop="1" thickBot="1">
      <c r="A29" s="140">
        <v>46018</v>
      </c>
      <c r="B29" s="166">
        <v>5.5</v>
      </c>
      <c r="C29" s="168">
        <v>2.25</v>
      </c>
      <c r="D29" s="215">
        <v>1.75</v>
      </c>
      <c r="E29" s="222"/>
      <c r="F29" s="223">
        <v>1</v>
      </c>
      <c r="G29" s="224">
        <v>0.5</v>
      </c>
      <c r="H29" s="155">
        <v>1.5</v>
      </c>
      <c r="I29" s="316"/>
      <c r="J29" s="336">
        <v>56</v>
      </c>
      <c r="K29" s="137" t="s">
        <v>726</v>
      </c>
      <c r="L29" s="324"/>
      <c r="M29" s="324"/>
      <c r="N29" s="324"/>
      <c r="O29" s="324"/>
      <c r="P29" s="324"/>
    </row>
    <row r="30" spans="1:16" ht="21.75" customHeight="1" thickTop="1">
      <c r="A30" s="140">
        <v>46019</v>
      </c>
      <c r="B30" s="166">
        <v>4</v>
      </c>
      <c r="C30" s="168">
        <v>4.5</v>
      </c>
      <c r="D30" s="215">
        <v>1.5</v>
      </c>
      <c r="E30" s="222"/>
      <c r="F30" s="223">
        <v>1.5</v>
      </c>
      <c r="G30" s="224"/>
      <c r="H30" s="155"/>
      <c r="I30" s="316" t="s">
        <v>732</v>
      </c>
      <c r="J30" s="336">
        <v>40</v>
      </c>
      <c r="K30" s="137" t="s">
        <v>731</v>
      </c>
    </row>
    <row r="31" spans="1:16" ht="16.5">
      <c r="A31" s="140">
        <v>46020</v>
      </c>
      <c r="B31" s="166">
        <v>6</v>
      </c>
      <c r="C31" s="168">
        <v>0.5</v>
      </c>
      <c r="D31" s="215">
        <v>2</v>
      </c>
      <c r="E31" s="222">
        <v>0.5</v>
      </c>
      <c r="F31" s="223">
        <v>1.25</v>
      </c>
      <c r="G31" s="224"/>
      <c r="H31" s="155">
        <v>2</v>
      </c>
      <c r="I31" s="316" t="s">
        <v>736</v>
      </c>
      <c r="J31" s="336">
        <v>42</v>
      </c>
      <c r="K31" s="137" t="s">
        <v>733</v>
      </c>
      <c r="P31" s="151">
        <v>6</v>
      </c>
    </row>
    <row r="32" spans="1:16" ht="16.5">
      <c r="A32" s="140">
        <v>46021</v>
      </c>
      <c r="B32" s="166">
        <v>5.5</v>
      </c>
      <c r="C32" s="168">
        <v>0.25</v>
      </c>
      <c r="D32" s="215">
        <v>0.5</v>
      </c>
      <c r="E32" s="222"/>
      <c r="F32" s="223">
        <v>0.5</v>
      </c>
      <c r="G32" s="224">
        <v>4.75</v>
      </c>
      <c r="H32" s="155">
        <v>1</v>
      </c>
      <c r="I32" s="316" t="s">
        <v>735</v>
      </c>
      <c r="J32" s="336">
        <v>50</v>
      </c>
      <c r="K32" s="137" t="s">
        <v>737</v>
      </c>
      <c r="P32" s="151">
        <v>8</v>
      </c>
    </row>
    <row r="33" spans="1:17" ht="16.5">
      <c r="A33" s="140">
        <v>46022</v>
      </c>
      <c r="B33" s="166">
        <v>3</v>
      </c>
      <c r="C33" s="169">
        <v>0.25</v>
      </c>
      <c r="D33" s="221">
        <v>1.4</v>
      </c>
      <c r="E33" s="225"/>
      <c r="F33" s="226">
        <v>15.5</v>
      </c>
      <c r="G33" s="227">
        <v>6.5</v>
      </c>
      <c r="H33" s="155"/>
      <c r="I33" s="316" t="s">
        <v>738</v>
      </c>
      <c r="J33" s="336">
        <v>25</v>
      </c>
      <c r="K33" s="137" t="s">
        <v>739</v>
      </c>
      <c r="L33" s="155"/>
      <c r="P33" s="155"/>
    </row>
    <row r="34" spans="1:17" ht="16.5">
      <c r="A34" s="140"/>
      <c r="B34" s="155"/>
      <c r="C34" s="155"/>
      <c r="D34" s="155"/>
      <c r="E34" s="155"/>
      <c r="F34" s="82"/>
      <c r="G34" s="82"/>
      <c r="H34" s="155"/>
      <c r="I34" s="316"/>
      <c r="J34" s="336"/>
      <c r="K34" s="155"/>
    </row>
    <row r="35" spans="1:17">
      <c r="A35" s="151" t="s">
        <v>120</v>
      </c>
      <c r="B35" s="151">
        <v>3</v>
      </c>
      <c r="N35" s="151" t="s">
        <v>710</v>
      </c>
      <c r="O35" s="151">
        <v>9.6</v>
      </c>
    </row>
    <row r="36" spans="1:17">
      <c r="N36" s="151" t="s">
        <v>655</v>
      </c>
      <c r="O36" s="151">
        <v>18</v>
      </c>
    </row>
    <row r="37" spans="1:17">
      <c r="N37" s="151" t="s">
        <v>711</v>
      </c>
      <c r="O37" s="151">
        <v>41</v>
      </c>
    </row>
    <row r="38" spans="1:17">
      <c r="N38" s="151" t="s">
        <v>712</v>
      </c>
      <c r="O38" s="151">
        <v>10</v>
      </c>
    </row>
    <row r="40" spans="1:17" ht="30">
      <c r="N40" s="1" t="s">
        <v>713</v>
      </c>
      <c r="O40" s="151">
        <f>SUM(O35:O38)</f>
        <v>78.599999999999994</v>
      </c>
    </row>
    <row r="41" spans="1:17">
      <c r="N41" s="343"/>
      <c r="O41" s="343"/>
      <c r="P41" s="343"/>
      <c r="Q41" s="343"/>
    </row>
    <row r="42" spans="1:17">
      <c r="N42" s="341"/>
      <c r="O42" s="341"/>
      <c r="P42" s="341"/>
      <c r="Q42" s="341"/>
    </row>
    <row r="43" spans="1:17">
      <c r="N43" s="151" t="s">
        <v>715</v>
      </c>
      <c r="O43" s="151" t="s">
        <v>716</v>
      </c>
      <c r="P43" s="151" t="s">
        <v>719</v>
      </c>
      <c r="Q43" s="151" t="s">
        <v>722</v>
      </c>
    </row>
    <row r="44" spans="1:17">
      <c r="N44" s="151" t="s">
        <v>717</v>
      </c>
      <c r="O44" s="151" t="s">
        <v>718</v>
      </c>
      <c r="P44" s="151" t="s">
        <v>721</v>
      </c>
      <c r="Q44" s="151" t="s">
        <v>720</v>
      </c>
    </row>
    <row r="55" spans="5:5">
      <c r="E55" s="51"/>
    </row>
    <row r="56" spans="5:5">
      <c r="E56" s="51"/>
    </row>
    <row r="58" spans="5:5">
      <c r="E58" s="51"/>
    </row>
  </sheetData>
  <mergeCells count="3">
    <mergeCell ref="P1:S1"/>
    <mergeCell ref="N41:Q41"/>
    <mergeCell ref="N42:Q42"/>
  </mergeCells>
  <conditionalFormatting sqref="B3:B4 B6:B33">
    <cfRule type="cellIs" dxfId="8" priority="2" operator="lessThan">
      <formula>$B$35</formula>
    </cfRule>
    <cfRule type="cellIs" dxfId="7" priority="3" operator="between">
      <formula>$B$35</formula>
      <formula>3</formula>
    </cfRule>
    <cfRule type="cellIs" dxfId="6" priority="4" operator="greaterThan">
      <formula>$B$35</formula>
    </cfRule>
  </conditionalFormatting>
  <conditionalFormatting sqref="A3:A34">
    <cfRule type="expression" dxfId="5" priority="1">
      <formula>WEEKDAY(A3,2)&gt;5</formula>
    </cfRule>
  </conditionalFormatting>
  <pageMargins left="0.7" right="0.7" top="0.75" bottom="0.75" header="0.3" footer="0.3"/>
  <pageSetup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I61"/>
  <sheetViews>
    <sheetView workbookViewId="0">
      <selection activeCell="B17" sqref="B17"/>
    </sheetView>
  </sheetViews>
  <sheetFormatPr defaultRowHeight="15"/>
  <cols>
    <col min="4" max="4" width="35.140625" customWidth="1"/>
    <col min="5" max="5" width="12.7109375" customWidth="1"/>
    <col min="6" max="6" width="35.85546875" customWidth="1"/>
    <col min="8" max="8" width="32.5703125" customWidth="1"/>
    <col min="9" max="9" width="17.7109375" customWidth="1"/>
  </cols>
  <sheetData>
    <row r="1" spans="4:9" ht="15.75" thickBot="1"/>
    <row r="2" spans="4:9" ht="15.75" thickBot="1">
      <c r="D2" s="171"/>
      <c r="E2" s="171"/>
      <c r="I2" s="205"/>
    </row>
    <row r="3" spans="4:9" ht="15.75" thickBot="1">
      <c r="D3" s="171" t="s">
        <v>410</v>
      </c>
      <c r="E3" s="172" t="s">
        <v>462</v>
      </c>
    </row>
    <row r="4" spans="4:9" ht="18.75" thickBot="1">
      <c r="D4" s="197" t="s">
        <v>452</v>
      </c>
      <c r="E4" s="198">
        <v>17500</v>
      </c>
    </row>
    <row r="5" spans="4:9" ht="18.75" thickBot="1">
      <c r="D5" s="197" t="s">
        <v>456</v>
      </c>
      <c r="E5" s="198">
        <v>12500</v>
      </c>
    </row>
    <row r="6" spans="4:9" ht="16.5" thickBot="1">
      <c r="D6" s="211" t="s">
        <v>437</v>
      </c>
      <c r="E6" s="183">
        <v>6660</v>
      </c>
    </row>
    <row r="7" spans="4:9" ht="16.5" thickBot="1">
      <c r="D7" s="211" t="s">
        <v>438</v>
      </c>
      <c r="E7" s="184">
        <v>6600</v>
      </c>
    </row>
    <row r="8" spans="4:9" ht="18.75" thickBot="1">
      <c r="D8" s="204" t="s">
        <v>459</v>
      </c>
      <c r="E8" s="206">
        <v>6000</v>
      </c>
    </row>
    <row r="9" spans="4:9" ht="18.75" thickBot="1">
      <c r="D9" s="207" t="s">
        <v>461</v>
      </c>
      <c r="E9" s="210">
        <v>6000</v>
      </c>
    </row>
    <row r="10" spans="4:9" ht="15.75" thickBot="1">
      <c r="D10" s="171" t="s">
        <v>421</v>
      </c>
      <c r="E10" s="172">
        <v>5479</v>
      </c>
    </row>
    <row r="11" spans="4:9" ht="16.5" thickBot="1">
      <c r="D11" s="211" t="s">
        <v>439</v>
      </c>
      <c r="E11" s="183">
        <v>2380</v>
      </c>
    </row>
    <row r="12" spans="4:9" ht="15.75" thickBot="1">
      <c r="D12" s="181" t="s">
        <v>412</v>
      </c>
      <c r="E12" s="182">
        <v>2300</v>
      </c>
    </row>
    <row r="13" spans="4:9" ht="18.75" thickBot="1">
      <c r="D13" s="204" t="s">
        <v>457</v>
      </c>
      <c r="E13" s="206">
        <v>2300</v>
      </c>
    </row>
    <row r="14" spans="4:9" ht="15.75" thickBot="1">
      <c r="D14" s="173" t="s">
        <v>431</v>
      </c>
      <c r="E14" s="174">
        <v>1920</v>
      </c>
    </row>
    <row r="15" spans="4:9" ht="19.5" thickBot="1">
      <c r="D15" s="193" t="s">
        <v>447</v>
      </c>
      <c r="E15" s="194">
        <v>1740</v>
      </c>
    </row>
    <row r="16" spans="4:9" ht="15.75" thickBot="1">
      <c r="D16" s="171" t="s">
        <v>411</v>
      </c>
      <c r="E16" s="172">
        <v>1650</v>
      </c>
    </row>
    <row r="17" spans="4:5" ht="15.75" thickBot="1">
      <c r="D17" s="171" t="s">
        <v>423</v>
      </c>
      <c r="E17" s="172">
        <v>1650</v>
      </c>
    </row>
    <row r="18" spans="4:5" ht="15.75" thickBot="1">
      <c r="D18" s="171" t="s">
        <v>426</v>
      </c>
      <c r="E18" s="172">
        <v>1600</v>
      </c>
    </row>
    <row r="19" spans="4:5" ht="18.75" thickBot="1">
      <c r="D19" s="187" t="s">
        <v>443</v>
      </c>
      <c r="E19" s="188">
        <v>1600</v>
      </c>
    </row>
    <row r="20" spans="4:5" ht="15.75" thickBot="1">
      <c r="D20" s="171" t="s">
        <v>425</v>
      </c>
      <c r="E20" s="172">
        <v>1500</v>
      </c>
    </row>
    <row r="21" spans="4:5" ht="15.75" thickBot="1">
      <c r="D21" s="171" t="s">
        <v>413</v>
      </c>
      <c r="E21" s="172">
        <v>1350</v>
      </c>
    </row>
    <row r="22" spans="4:5" ht="15.75" thickBot="1">
      <c r="D22" s="171" t="s">
        <v>416</v>
      </c>
      <c r="E22" s="172">
        <v>1350</v>
      </c>
    </row>
    <row r="23" spans="4:5" ht="18.75" thickBot="1">
      <c r="D23" s="202" t="s">
        <v>453</v>
      </c>
      <c r="E23" s="203">
        <v>1120</v>
      </c>
    </row>
    <row r="24" spans="4:5" ht="16.5" thickBot="1">
      <c r="D24" s="211" t="s">
        <v>440</v>
      </c>
      <c r="E24" s="184">
        <v>1090</v>
      </c>
    </row>
    <row r="25" spans="4:5" ht="15.75" thickBot="1">
      <c r="D25" s="171" t="s">
        <v>417</v>
      </c>
      <c r="E25" s="172">
        <v>1030</v>
      </c>
    </row>
    <row r="26" spans="4:5" ht="15.75" thickBot="1">
      <c r="D26" s="171" t="s">
        <v>420</v>
      </c>
      <c r="E26" s="172">
        <v>1000</v>
      </c>
    </row>
    <row r="27" spans="4:5" ht="15.75" thickBot="1">
      <c r="D27" s="171" t="s">
        <v>429</v>
      </c>
      <c r="E27" s="172">
        <v>1000</v>
      </c>
    </row>
    <row r="28" spans="4:5" ht="18.75" thickBot="1">
      <c r="D28" s="191" t="s">
        <v>445</v>
      </c>
      <c r="E28" s="192">
        <v>957</v>
      </c>
    </row>
    <row r="29" spans="4:5" ht="15.75" thickBot="1">
      <c r="D29" s="171" t="s">
        <v>415</v>
      </c>
      <c r="E29" s="172">
        <v>900</v>
      </c>
    </row>
    <row r="30" spans="4:5" ht="15.75" thickBot="1">
      <c r="D30" s="171" t="s">
        <v>422</v>
      </c>
      <c r="E30" s="172">
        <v>870</v>
      </c>
    </row>
    <row r="31" spans="4:5" ht="18.75" thickBot="1">
      <c r="D31" s="207" t="s">
        <v>458</v>
      </c>
      <c r="E31" s="208">
        <v>860</v>
      </c>
    </row>
    <row r="32" spans="4:5" ht="15.75" thickBot="1">
      <c r="D32" s="177" t="s">
        <v>436</v>
      </c>
      <c r="E32" s="178">
        <v>850</v>
      </c>
    </row>
    <row r="33" spans="4:5" ht="15.75" thickBot="1">
      <c r="D33" s="175" t="s">
        <v>434</v>
      </c>
      <c r="E33" s="176">
        <v>810</v>
      </c>
    </row>
    <row r="34" spans="4:5" ht="15.75" thickBot="1">
      <c r="D34" s="214" t="s">
        <v>424</v>
      </c>
      <c r="E34" s="172">
        <v>700</v>
      </c>
    </row>
    <row r="35" spans="4:5" ht="15.75" thickBot="1">
      <c r="D35" s="214" t="s">
        <v>428</v>
      </c>
      <c r="E35" s="172">
        <v>700</v>
      </c>
    </row>
    <row r="36" spans="4:5" ht="15.75" thickBot="1">
      <c r="D36" s="212" t="s">
        <v>433</v>
      </c>
      <c r="E36" s="176">
        <v>570</v>
      </c>
    </row>
    <row r="37" spans="4:5" ht="15.75" thickBot="1">
      <c r="D37" s="213" t="s">
        <v>435</v>
      </c>
      <c r="E37" s="178">
        <v>570</v>
      </c>
    </row>
    <row r="38" spans="4:5" ht="18.75" thickBot="1">
      <c r="D38" s="197" t="s">
        <v>449</v>
      </c>
      <c r="E38" s="198">
        <v>550</v>
      </c>
    </row>
    <row r="39" spans="4:5" ht="18.75" thickBot="1">
      <c r="D39" s="196" t="s">
        <v>422</v>
      </c>
      <c r="E39" s="201">
        <v>535</v>
      </c>
    </row>
    <row r="40" spans="4:5" ht="18.75" thickBot="1">
      <c r="D40" s="199" t="s">
        <v>450</v>
      </c>
      <c r="E40" s="200">
        <v>520</v>
      </c>
    </row>
    <row r="41" spans="4:5" ht="15.75" thickBot="1">
      <c r="D41" s="171" t="s">
        <v>432</v>
      </c>
      <c r="E41" s="172">
        <v>500</v>
      </c>
    </row>
    <row r="42" spans="4:5" ht="18.75" thickBot="1">
      <c r="D42" s="185" t="s">
        <v>441</v>
      </c>
      <c r="E42" s="186">
        <v>500</v>
      </c>
    </row>
    <row r="43" spans="4:5" ht="18.75" thickBot="1">
      <c r="D43" s="189" t="s">
        <v>444</v>
      </c>
      <c r="E43" s="190">
        <v>500</v>
      </c>
    </row>
    <row r="44" spans="4:5" ht="18.75" thickBot="1">
      <c r="D44" s="197" t="s">
        <v>454</v>
      </c>
      <c r="E44" s="198">
        <v>400</v>
      </c>
    </row>
    <row r="45" spans="4:5" ht="15.75" thickBot="1">
      <c r="D45" s="175" t="s">
        <v>422</v>
      </c>
      <c r="E45" s="176">
        <v>394</v>
      </c>
    </row>
    <row r="46" spans="4:5" ht="18.75" thickBot="1">
      <c r="D46" s="189" t="s">
        <v>446</v>
      </c>
      <c r="E46" s="190">
        <v>370</v>
      </c>
    </row>
    <row r="47" spans="4:5" ht="18.75" thickBot="1">
      <c r="D47" s="204" t="s">
        <v>460</v>
      </c>
      <c r="E47" s="209">
        <v>370</v>
      </c>
    </row>
    <row r="48" spans="4:5" ht="15.75" thickBot="1">
      <c r="D48" s="171" t="s">
        <v>419</v>
      </c>
      <c r="E48" s="172">
        <v>350</v>
      </c>
    </row>
    <row r="49" spans="4:5" ht="18.75" thickBot="1">
      <c r="D49" s="199" t="s">
        <v>451</v>
      </c>
      <c r="E49" s="200">
        <v>290</v>
      </c>
    </row>
    <row r="50" spans="4:5" ht="15.75" thickBot="1">
      <c r="D50" s="171" t="s">
        <v>412</v>
      </c>
      <c r="E50" s="172">
        <v>278</v>
      </c>
    </row>
    <row r="51" spans="4:5" ht="18.75" thickBot="1">
      <c r="D51" s="187" t="s">
        <v>442</v>
      </c>
      <c r="E51" s="186">
        <v>230</v>
      </c>
    </row>
    <row r="52" spans="4:5" ht="15.75" thickBot="1">
      <c r="D52" s="171" t="s">
        <v>414</v>
      </c>
      <c r="E52" s="172">
        <v>200</v>
      </c>
    </row>
    <row r="53" spans="4:5" ht="18.75" thickBot="1">
      <c r="D53" s="196" t="s">
        <v>455</v>
      </c>
      <c r="E53" s="201">
        <v>150</v>
      </c>
    </row>
    <row r="54" spans="4:5" ht="15.75" thickBot="1">
      <c r="D54" s="171" t="s">
        <v>430</v>
      </c>
      <c r="E54" s="172">
        <v>100</v>
      </c>
    </row>
    <row r="55" spans="4:5" ht="15.75" thickBot="1">
      <c r="D55" s="171" t="s">
        <v>418</v>
      </c>
      <c r="E55" s="172">
        <v>90</v>
      </c>
    </row>
    <row r="56" spans="4:5" ht="15.75" thickBot="1">
      <c r="D56" s="171" t="s">
        <v>427</v>
      </c>
      <c r="E56" s="171"/>
    </row>
    <row r="57" spans="4:5" ht="15.75" thickBot="1">
      <c r="D57" s="171"/>
      <c r="E57" s="172"/>
    </row>
    <row r="58" spans="4:5" ht="15.75" thickBot="1">
      <c r="D58" s="179"/>
      <c r="E58" s="179"/>
    </row>
    <row r="59" spans="4:5" ht="18.75" thickBot="1">
      <c r="D59" s="185"/>
      <c r="E59" s="186"/>
    </row>
    <row r="60" spans="4:5" ht="18.75" thickBot="1">
      <c r="D60" s="196" t="s">
        <v>448</v>
      </c>
      <c r="E60" s="195"/>
    </row>
    <row r="61" spans="4:5" ht="15.75" thickBot="1">
      <c r="D61" s="180"/>
      <c r="E61" s="180"/>
    </row>
  </sheetData>
  <sortState ref="D4:E61">
    <sortCondition descending="1" ref="E4:E61"/>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1.jan-2025</vt:lpstr>
      <vt:lpstr>Rules</vt:lpstr>
      <vt:lpstr>2.feb</vt:lpstr>
      <vt:lpstr>3. march</vt:lpstr>
      <vt:lpstr>4.april</vt:lpstr>
      <vt:lpstr>5.may</vt:lpstr>
      <vt:lpstr>6.june </vt:lpstr>
      <vt:lpstr>7.july</vt:lpstr>
      <vt:lpstr>8.aug </vt:lpstr>
      <vt:lpstr>9.sept </vt:lpstr>
      <vt:lpstr>10.oct (2)</vt:lpstr>
      <vt:lpstr>11. nov </vt:lpstr>
      <vt:lpstr>12.dec</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2026-03-16T16:23:11Z</dcterms:modified>
</cp:coreProperties>
</file>