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9.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10.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tables/table11.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7650" activeTab="4"/>
  </bookViews>
  <sheets>
    <sheet name="Rules" sheetId="21" r:id="rId1"/>
    <sheet name="1.jan" sheetId="36" r:id="rId2"/>
    <sheet name="2.feb" sheetId="24" r:id="rId3"/>
    <sheet name="3.march" sheetId="37" r:id="rId4"/>
    <sheet name="4.apr" sheetId="38" r:id="rId5"/>
    <sheet name="5.may" sheetId="27" r:id="rId6"/>
    <sheet name="6.june " sheetId="30" r:id="rId7"/>
    <sheet name="7.july" sheetId="31" r:id="rId8"/>
    <sheet name="8.aug " sheetId="32" r:id="rId9"/>
    <sheet name="9.sept " sheetId="33" r:id="rId10"/>
    <sheet name="10.oct (2)" sheetId="34" r:id="rId11"/>
    <sheet name="11. nov " sheetId="35" r:id="rId12"/>
    <sheet name="12.dec" sheetId="28" r:id="rId13"/>
    <sheet name="Sheet1" sheetId="29" r:id="rId14"/>
  </sheets>
  <calcPr calcId="152511"/>
</workbook>
</file>

<file path=xl/calcChain.xml><?xml version="1.0" encoding="utf-8"?>
<calcChain xmlns="http://schemas.openxmlformats.org/spreadsheetml/2006/main">
  <c r="P3" i="38" l="1"/>
  <c r="O3" i="38"/>
  <c r="M3" i="38"/>
  <c r="O2" i="38"/>
  <c r="I2" i="38"/>
  <c r="H2" i="38"/>
  <c r="G2" i="38"/>
  <c r="F2" i="38"/>
  <c r="E2" i="38"/>
  <c r="D2" i="38"/>
  <c r="C2" i="38"/>
  <c r="B2" i="38"/>
  <c r="O1" i="38"/>
  <c r="K2" i="38" l="1"/>
  <c r="M3" i="37"/>
  <c r="E28" i="29" l="1"/>
  <c r="P3" i="37" l="1"/>
  <c r="O3" i="37" l="1"/>
  <c r="O2" i="37"/>
  <c r="I2" i="37"/>
  <c r="H2" i="37"/>
  <c r="G2" i="37"/>
  <c r="F2" i="37"/>
  <c r="E2" i="37"/>
  <c r="D2" i="37"/>
  <c r="C2" i="37"/>
  <c r="B2" i="37"/>
  <c r="O1" i="37"/>
  <c r="K2" i="37" l="1"/>
  <c r="I2" i="24"/>
  <c r="E2" i="24"/>
  <c r="F2" i="24"/>
  <c r="G2" i="24"/>
  <c r="H2" i="24"/>
  <c r="D2" i="24"/>
  <c r="C2" i="24"/>
  <c r="B2" i="24"/>
  <c r="K2" i="24" l="1"/>
  <c r="J2" i="36"/>
  <c r="F2" i="36"/>
  <c r="K2" i="36" s="1"/>
  <c r="M3" i="36" l="1"/>
  <c r="D2" i="36"/>
  <c r="E2" i="36"/>
  <c r="G2" i="36"/>
  <c r="H2" i="36"/>
  <c r="C2" i="36"/>
  <c r="K2" i="28"/>
  <c r="O40" i="36"/>
  <c r="O27" i="36"/>
  <c r="O4" i="36"/>
  <c r="O3" i="36"/>
  <c r="P2" i="36"/>
  <c r="B2" i="36"/>
  <c r="O1" i="36"/>
  <c r="O2" i="36" l="1"/>
  <c r="O40" i="28"/>
  <c r="J2" i="28" l="1"/>
  <c r="B2" i="28" l="1"/>
  <c r="C2" i="28" l="1"/>
  <c r="D2" i="28"/>
  <c r="E2" i="28"/>
  <c r="G2" i="28" l="1"/>
  <c r="H2" i="28"/>
  <c r="F2" i="28"/>
  <c r="P2" i="28" l="1"/>
  <c r="M25" i="35" l="1"/>
  <c r="R14" i="35"/>
  <c r="O4" i="35"/>
  <c r="O3" i="35"/>
  <c r="O2" i="35" s="1"/>
  <c r="P2" i="35"/>
  <c r="J2" i="35"/>
  <c r="I2" i="35"/>
  <c r="H2" i="35"/>
  <c r="G2" i="35"/>
  <c r="F2" i="35"/>
  <c r="E2" i="35"/>
  <c r="D2" i="35"/>
  <c r="C2" i="35"/>
  <c r="O1" i="35"/>
  <c r="K2" i="35" l="1"/>
  <c r="K25" i="34"/>
  <c r="P14" i="34"/>
  <c r="M4" i="34"/>
  <c r="M3" i="34"/>
  <c r="M2" i="34" s="1"/>
  <c r="N2" i="34"/>
  <c r="H2" i="34"/>
  <c r="G2" i="34"/>
  <c r="F2" i="34"/>
  <c r="E2" i="34"/>
  <c r="D2" i="34"/>
  <c r="C2" i="34"/>
  <c r="M1" i="34"/>
  <c r="I2" i="34" l="1"/>
  <c r="M25" i="28"/>
  <c r="N2" i="33"/>
  <c r="K25" i="33"/>
  <c r="P14" i="33"/>
  <c r="M4" i="33"/>
  <c r="M3" i="33"/>
  <c r="M2" i="33" s="1"/>
  <c r="H2" i="33"/>
  <c r="G2" i="33"/>
  <c r="F2" i="33"/>
  <c r="E2" i="33"/>
  <c r="D2" i="33"/>
  <c r="C2" i="33"/>
  <c r="B2" i="33"/>
  <c r="M1" i="33"/>
  <c r="I2" i="33" l="1"/>
  <c r="O27" i="28"/>
  <c r="M37" i="32" l="1"/>
  <c r="K25" i="32"/>
  <c r="M4" i="32"/>
  <c r="M3" i="32"/>
  <c r="M2" i="32" s="1"/>
  <c r="H2" i="32"/>
  <c r="G2" i="32"/>
  <c r="F2" i="32"/>
  <c r="E2" i="32"/>
  <c r="I2" i="32" s="1"/>
  <c r="D2" i="32"/>
  <c r="C2" i="32"/>
  <c r="B2" i="32"/>
  <c r="M1" i="32"/>
  <c r="M37" i="31" l="1"/>
  <c r="K25" i="31"/>
  <c r="M4" i="31"/>
  <c r="M3" i="31"/>
  <c r="M2" i="31" s="1"/>
  <c r="M1" i="31"/>
  <c r="M37" i="30" l="1"/>
  <c r="M4" i="30"/>
  <c r="M3" i="30"/>
  <c r="M2" i="30" s="1"/>
  <c r="M1" i="30"/>
  <c r="P4" i="27" l="1"/>
  <c r="O4" i="28"/>
  <c r="O3" i="28"/>
  <c r="O1" i="28"/>
  <c r="O2" i="28" l="1"/>
  <c r="P37" i="27" l="1"/>
  <c r="P3" i="27" l="1"/>
  <c r="P1" i="27"/>
  <c r="P2" i="27" l="1"/>
  <c r="O3" i="24" l="1"/>
  <c r="O2" i="24" l="1"/>
  <c r="O1" i="24"/>
  <c r="M3" i="24"/>
</calcChain>
</file>

<file path=xl/sharedStrings.xml><?xml version="1.0" encoding="utf-8"?>
<sst xmlns="http://schemas.openxmlformats.org/spreadsheetml/2006/main" count="873" uniqueCount="346">
  <si>
    <t>hours studied</t>
  </si>
  <si>
    <t>misc-unavoidable</t>
  </si>
  <si>
    <t>current month wastage</t>
  </si>
  <si>
    <t>ofc</t>
  </si>
  <si>
    <t>Rules</t>
  </si>
  <si>
    <t>Always replace a bad habbit with good habbit</t>
  </si>
  <si>
    <t>you can open while preparing ganji and washing vessels</t>
  </si>
  <si>
    <t>Best time pass</t>
  </si>
  <si>
    <t>Read books on fib</t>
  </si>
  <si>
    <t>see dance songs and practice dance</t>
  </si>
  <si>
    <t>Mobile/ TV/youtube rules</t>
  </si>
  <si>
    <t>or listen songs and learn the lyrics and memorise them</t>
  </si>
  <si>
    <t>day</t>
  </si>
  <si>
    <t>wasted hours</t>
  </si>
  <si>
    <t>studied hours</t>
  </si>
  <si>
    <t>wasted-avoidable</t>
  </si>
  <si>
    <t>wasted-un avoidable</t>
  </si>
  <si>
    <t>target</t>
  </si>
  <si>
    <t>https://www.youtube.com/watch?v=KSLeXFe28LE</t>
  </si>
  <si>
    <t>time table</t>
  </si>
  <si>
    <t>AM</t>
  </si>
  <si>
    <t>subject</t>
  </si>
  <si>
    <t>soaking</t>
  </si>
  <si>
    <t>daily act</t>
  </si>
  <si>
    <t>punctuality related- Be always punctual,</t>
  </si>
  <si>
    <t>Total wastage</t>
  </si>
  <si>
    <t>Main problems</t>
  </si>
  <si>
    <t xml:space="preserve">Target -hib,mvn
</t>
  </si>
  <si>
    <t>Dinner timings-30 min-- Eating 20 min, dishwashing -10min (keep timer before eating)</t>
  </si>
  <si>
    <t>10 % read</t>
  </si>
  <si>
    <t>20% hear</t>
  </si>
  <si>
    <t>30% see</t>
  </si>
  <si>
    <t>80% practice</t>
  </si>
  <si>
    <t>we retain</t>
  </si>
  <si>
    <t>studied 
hours</t>
  </si>
  <si>
    <t>Total wasted hours</t>
  </si>
  <si>
    <t xml:space="preserve">
daily min 2.5 gone- 1-yoga, 1-ready, 0.5-soaking,water
1) with in 2 hours - you should complete daily activites - sun 20, yoga 50, bath20, tiffin 20,  pooja 20 mins
2)  soaking 15, bring water- 15 mins - will not be counted
so this 2.5 hour will not be counted below
3) stopped khashayms for santu as per doctor
4) news 30, eve sun will not be counted henceforth</t>
  </si>
  <si>
    <t xml:space="preserve">Always prepare the plan what to read
</t>
  </si>
  <si>
    <t xml:space="preserve">2) jeevitham lo bagu padalante - oka niyamam undali- </t>
  </si>
  <si>
    <t xml:space="preserve">weekend Tips:- 
1) I should see  Saturday /Sunday as opportunity for learning
we should wakeup early and be more strict on Sunday and utilize holidays/atleast treat them as working days
2) goto temple 9:30 AM every sat and sunday to habitute to a schedule &amp; to make myself wokeup 
</t>
  </si>
  <si>
    <t>Monthly rules</t>
  </si>
  <si>
    <t>Column1</t>
  </si>
  <si>
    <t>730-930</t>
  </si>
  <si>
    <t>Column2</t>
  </si>
  <si>
    <t>630-730</t>
  </si>
  <si>
    <t>1-2 news,lunch,travel</t>
  </si>
  <si>
    <t xml:space="preserve">2-630 </t>
  </si>
  <si>
    <t>630-715</t>
  </si>
  <si>
    <t>travel</t>
  </si>
  <si>
    <t>715-745</t>
  </si>
  <si>
    <t>dinner</t>
  </si>
  <si>
    <t>work</t>
  </si>
  <si>
    <t>current main mistakes</t>
  </si>
  <si>
    <t xml:space="preserve">misc-avoid
able
</t>
  </si>
  <si>
    <t>maven mins</t>
  </si>
  <si>
    <t>soap
mins</t>
  </si>
  <si>
    <t>2) major problem is late wokeup</t>
  </si>
  <si>
    <t>details</t>
  </si>
  <si>
    <t>youtube
TV/
movies</t>
  </si>
  <si>
    <t>extra ofc work</t>
  </si>
  <si>
    <t>house shopping</t>
  </si>
  <si>
    <t>sollu
calls</t>
  </si>
  <si>
    <t>1) shutdown all media-TV/Youtube/WORK by 9:45PM even friday Saturday and sunday
 (if u don’t close by9:45PM then u will wokeup late morning 1.5 hr gone)</t>
  </si>
  <si>
    <t>745-945</t>
  </si>
  <si>
    <t>pooja</t>
  </si>
  <si>
    <t>dustbin</t>
  </si>
  <si>
    <t>bath</t>
  </si>
  <si>
    <t>tifffin</t>
  </si>
  <si>
    <t>dish wash</t>
  </si>
  <si>
    <t>total-max</t>
  </si>
  <si>
    <t>kitchen
/house work</t>
  </si>
  <si>
    <t xml:space="preserve">6-645 </t>
  </si>
  <si>
    <t>sun,help</t>
  </si>
  <si>
    <t>645-730</t>
  </si>
  <si>
    <t>worst case 3.5 we should study</t>
  </si>
  <si>
    <t>730-10</t>
  </si>
  <si>
    <t>dust,bath,tiffin,</t>
  </si>
  <si>
    <t>dishwash,pooja, soaking</t>
  </si>
  <si>
    <t>morning finish tiffin before 9,9-930 dishwash, soaking</t>
  </si>
  <si>
    <t>aws, soap, SSL,maven</t>
  </si>
  <si>
    <t>930--1</t>
  </si>
  <si>
    <t>Don’t eat food with santu- she always starts a movie- I will just continue</t>
  </si>
  <si>
    <t>Every target must have a dead line</t>
  </si>
  <si>
    <t>major 20 hours time wasted due to 1 spoon of sweet== 103.5 fever of mine &amp; wife
1) doing BCB 2) eating with santu &amp; seeing tv  3) finish dinner @ 7:30- late dinner --&gt; night wake up - extra sleep 4) over munakayalu- night leak- wakeup- extra sleep</t>
  </si>
  <si>
    <t>sun,kha</t>
  </si>
  <si>
    <t>930--1230</t>
  </si>
  <si>
    <t>1230-130 news,lunch,travel</t>
  </si>
  <si>
    <t xml:space="preserve">130-630 </t>
  </si>
  <si>
    <t>travel,diner</t>
  </si>
  <si>
    <t>sleep</t>
  </si>
  <si>
    <t>un avoidable</t>
  </si>
  <si>
    <t>details- when I didn’t follow rules- color will be red</t>
  </si>
  <si>
    <t>6-630,630-730</t>
  </si>
  <si>
    <t>sum</t>
  </si>
  <si>
    <t>note- see preg shipi videos while at kitchen</t>
  </si>
  <si>
    <t>utilized ofc hours</t>
  </si>
  <si>
    <t>pooja,temple</t>
  </si>
  <si>
    <t>6-630,630-7</t>
  </si>
  <si>
    <t>news</t>
  </si>
  <si>
    <t>7-930</t>
  </si>
  <si>
    <t>worst case 3 we should study</t>
  </si>
  <si>
    <t>don’t make pudina khashayam (do once in a month)</t>
  </si>
  <si>
    <t>sleep for 8 hours- if less also don’t wakeup just sleep and close ur eyes- today I wokeup after 7hrs and again slept as eyes dry</t>
  </si>
  <si>
    <t>used ofc hours details</t>
  </si>
  <si>
    <t>don’t make pudina khashayam (do only once in a month)</t>
  </si>
  <si>
    <t>9- hours added for daily soaking- daily 20 mins + tiffin prep</t>
  </si>
  <si>
    <t>7-730</t>
  </si>
  <si>
    <t>dust,bath</t>
  </si>
  <si>
    <t xml:space="preserve">730-8 </t>
  </si>
  <si>
    <t>pooja, temp</t>
  </si>
  <si>
    <t xml:space="preserve">8-830 </t>
  </si>
  <si>
    <t>tiffin</t>
  </si>
  <si>
    <t xml:space="preserve">830-9 </t>
  </si>
  <si>
    <t>news, soaking</t>
  </si>
  <si>
    <t>9-12:10</t>
  </si>
  <si>
    <t>study</t>
  </si>
  <si>
    <t>Food related -keep always 20 mins timer during tiffin,lunch , dinner and eat,rem 10 mins dish wash</t>
  </si>
  <si>
    <t>never bring raw ground nut, to open half kg it will take 30 min- full time waste</t>
  </si>
  <si>
    <t>kitchen help max-15 mins</t>
  </si>
  <si>
    <t>dish wash -15 mins</t>
  </si>
  <si>
    <t>soaking -mrng +even -30mins</t>
  </si>
  <si>
    <t>khashayams -30 mins</t>
  </si>
  <si>
    <t>don’t make pudina khashayam (do once in a month)- already did in this month on  nov 6
don’t talk with charan - waste of giving suggestions to him, he didn’t apply infosys, deloitte</t>
  </si>
  <si>
    <t xml:space="preserve">1) stop mobile &amp;stop all works@ 9:00AM &amp;keep cell away from 9:30-12:30 &amp;  don’t talk lontalk talk long any call from 930-12 
2)  once reading starts then No deviation for  2 hours -means we should not use mobile,youtube
(if u get bored see amazon/ only 1 song in youtube- dont open full youtube)
 no google search of  topics other than subject </t>
  </si>
  <si>
    <t>pooja, yoga</t>
  </si>
  <si>
    <t xml:space="preserve">monthly max 1 movie in ott </t>
  </si>
  <si>
    <t>sales force admin</t>
  </si>
  <si>
    <t>apex</t>
  </si>
  <si>
    <t>pooja,</t>
  </si>
  <si>
    <t>9-12:30</t>
  </si>
  <si>
    <t>1230-130 lunch,travel</t>
  </si>
  <si>
    <t xml:space="preserve">max 3 times postponement/procastination- after that no postponement - we must do </t>
  </si>
  <si>
    <t>utilized ofc hours for study + means I utilized, - means I lost</t>
  </si>
  <si>
    <t xml:space="preserve">syllabus comp in mins </t>
  </si>
  <si>
    <t>admin</t>
  </si>
  <si>
    <t>lwc</t>
  </si>
  <si>
    <t>rest</t>
  </si>
  <si>
    <t>total pending hours 
as on dec 25</t>
  </si>
  <si>
    <t>30 mins per day</t>
  </si>
  <si>
    <t>150 days</t>
  </si>
  <si>
    <t>45 mins per day</t>
  </si>
  <si>
    <t>120 days</t>
  </si>
  <si>
    <t>4m</t>
  </si>
  <si>
    <t>jan-april</t>
  </si>
  <si>
    <t>5m</t>
  </si>
  <si>
    <t>jan-may</t>
  </si>
  <si>
    <t>don’t talk reg charan its time waste, ataya is hurting- dec 27</t>
  </si>
  <si>
    <t>major problem is late wokeup</t>
  </si>
  <si>
    <t>tiffin,soaking</t>
  </si>
  <si>
    <t>Tips:- 
1) I should see  Saturday /Sunday as opportunity for learning
we should wakeup early and be more strict on Sunday and utilize holidays
2) don’t talk lontalk talk long any call from 9-12
And dont touch cell phone from 9 AM- dont see any video till next day
3) shutdown after 930 towake up by 530 see orange sun
4) prepare ganji &amp; eat dinner during meeting s scrum calls
5) dont watch movie every sunday, max 1 movie per month not 1 per weekend</t>
  </si>
  <si>
    <t>total pending hours 
as on jan1</t>
  </si>
  <si>
    <t xml:space="preserve">movies- </t>
  </si>
  <si>
    <t>sheet</t>
  </si>
  <si>
    <t>1-  house clean trees, calls reg dilshad aunty money issue,1.5-new year shoping</t>
  </si>
  <si>
    <t>waste shopping new year</t>
  </si>
  <si>
    <t>dialy veg help-10,3 times soaking 15 mins, dish wash -10 mins</t>
  </si>
  <si>
    <t>sun-10 mins, walking 45 mins is not logged, yoga 20 mins</t>
  </si>
  <si>
    <t>when I mentioned less num - means that video is completed
ap-apex, ad-admin</t>
  </si>
  <si>
    <t>ap 276</t>
  </si>
  <si>
    <t>Learning rules- first see udemy video after that only search in chatGPT - else time waste - un neccesarily searching</t>
  </si>
  <si>
    <t>eat 1 PM sharp , evening eat by 6PM sharp--eat before 8 - so that u wont wakeup for toilet midnight</t>
  </si>
  <si>
    <t>pudina khashayam done on jan-3</t>
  </si>
  <si>
    <t>1- mom calls reg house vacate</t>
  </si>
  <si>
    <t>ap 282</t>
  </si>
  <si>
    <t>total</t>
  </si>
  <si>
    <t>washing help, machine repair -2</t>
  </si>
  <si>
    <t>soaking-15 mins, dish wash -10, mixi tifin prep 10</t>
  </si>
  <si>
    <t>1) doing BCB during day time, sollu calls, over movies, over youtube</t>
  </si>
  <si>
    <t>ad 111-113</t>
  </si>
  <si>
    <t>pure time waste-books 0.5,BCB sleep-2</t>
  </si>
  <si>
    <t>ap 106-109 ad114-116</t>
  </si>
  <si>
    <t>temple</t>
  </si>
  <si>
    <t>youtube- mega start audio launch 1,shows- 3 roses,</t>
  </si>
  <si>
    <t>house shopping-amz ear plugs</t>
  </si>
  <si>
    <t>went to kavali for sankranthi</t>
  </si>
  <si>
    <t>went to kavali for ramewswaram</t>
  </si>
  <si>
    <t>vs code issues, formatter plugin wasted, sol- youtube,amz shoipng,1.5- mohan</t>
  </si>
  <si>
    <t>6- insurance rejection calls</t>
  </si>
  <si>
    <t>lwc -36</t>
  </si>
  <si>
    <t>travel planning-2,tour planning,cancel</t>
  </si>
  <si>
    <t>ad 117-119</t>
  </si>
  <si>
    <t>ad 120-121</t>
  </si>
  <si>
    <t>5-rmm tour plan -train cancel,</t>
  </si>
  <si>
    <t>4- radhika house mohan issue, movie- raja saab</t>
  </si>
  <si>
    <t>ad122-ad126</t>
  </si>
  <si>
    <t>5.5- mf redeem, post, 1- bathroom cleaning</t>
  </si>
  <si>
    <t>630-7,7-730</t>
  </si>
  <si>
    <t>ready,kit help,yoga</t>
  </si>
  <si>
    <t>9-12:00</t>
  </si>
  <si>
    <t>730-8</t>
  </si>
  <si>
    <t>8-830</t>
  </si>
  <si>
    <t>830-9</t>
  </si>
  <si>
    <t>soak,pooja</t>
  </si>
  <si>
    <t>tiffin,dishwash</t>
  </si>
  <si>
    <t>12-1215</t>
  </si>
  <si>
    <t>1-1:30</t>
  </si>
  <si>
    <t>lunch, ofc travel</t>
  </si>
  <si>
    <t>walking</t>
  </si>
  <si>
    <t>1215-1,</t>
  </si>
  <si>
    <t>630-8</t>
  </si>
  <si>
    <t>8-1030</t>
  </si>
  <si>
    <t>1.5-financial talks</t>
  </si>
  <si>
    <t>3.5-gold buying</t>
  </si>
  <si>
    <t>Media (if u got bored , just see sheets)</t>
  </si>
  <si>
    <t>BCB</t>
  </si>
  <si>
    <t>2-BCB</t>
  </si>
  <si>
    <t>khashayam-0.5,kitchen help-4.5,house help 1.75, veg shop 0.5</t>
  </si>
  <si>
    <t>2.5 -gold</t>
  </si>
  <si>
    <t>1- house shopinf</t>
  </si>
  <si>
    <t>tcs interview</t>
  </si>
  <si>
    <t>relatives meet - kavya 8, attayya 8</t>
  </si>
  <si>
    <t>8-went to kavya house with attayya</t>
  </si>
  <si>
    <t>8-attayya movies-naari naari naduma murari</t>
  </si>
  <si>
    <t>movie-ayalean,raja saab, naari, shankar, anagana oka raj</t>
  </si>
  <si>
    <t>daily-20 mins soaking,10 mins dishwash</t>
  </si>
  <si>
    <t>kitchen help</t>
  </si>
  <si>
    <t>subject studied</t>
  </si>
  <si>
    <t>lwc -45</t>
  </si>
  <si>
    <t>office work (+ means I utilised, - means I did ofc work)</t>
  </si>
  <si>
    <t>bcb</t>
  </si>
  <si>
    <t>2-bcb</t>
  </si>
  <si>
    <t>khahsyams</t>
  </si>
  <si>
    <t>video 47</t>
  </si>
  <si>
    <t>1.5-vaddi, video -46</t>
  </si>
  <si>
    <t>mohan calls- 4, video-51</t>
  </si>
  <si>
    <t>mohan,mohan mom calls-2, video -53</t>
  </si>
  <si>
    <t>financial 7.5, gold-10.5,last year cal 4,ins cals 6 ,post -3, mf reddem 2</t>
  </si>
  <si>
    <t>2-BCB,movie- mana shankar vara prasad</t>
  </si>
  <si>
    <t>lwc-37-38.5</t>
  </si>
  <si>
    <t>lwc-38.5-41</t>
  </si>
  <si>
    <t>time pass</t>
  </si>
  <si>
    <t>real estate home buying plan thinking-kollu</t>
  </si>
  <si>
    <t>lwc-49</t>
  </si>
  <si>
    <t>lwc 46</t>
  </si>
  <si>
    <t>lwc-48,47</t>
  </si>
  <si>
    <t>0.5-real estate,1- movie review,5-euphoria movie</t>
  </si>
  <si>
    <t>0.5-mohan , 1- relatives, 0.5-house shop,1.5-sheet -cal</t>
  </si>
  <si>
    <t>sun,kit help,yoga,khashyam</t>
  </si>
  <si>
    <t>water -0.75,calls- atha</t>
  </si>
  <si>
    <t>went to kvz, for tata dinam, swaroop fun</t>
  </si>
  <si>
    <t>BCB,house shopping</t>
  </si>
  <si>
    <t>financial , calc1.5, bank gold loan-3</t>
  </si>
  <si>
    <t>house shopping- groceries -1 ,water - 0.75, plastic can,dmart -1</t>
  </si>
  <si>
    <t>went to bank for gold loan,dmart-1</t>
  </si>
  <si>
    <t>2-bcb,0.75- mohan train</t>
  </si>
  <si>
    <t>lwc-50</t>
  </si>
  <si>
    <t>lwc 52-55</t>
  </si>
  <si>
    <t>lwc-56, apex-126</t>
  </si>
  <si>
    <t xml:space="preserve">5-attended salesforce webinar,dude- movie,1- weekend totakura </t>
  </si>
  <si>
    <t>Don’t do walking in morning times- do the walking evening times or when sollu calls -as anyways by eve u will get bored by eve-</t>
  </si>
  <si>
    <t>1-walking,0.5- time pass,1.5- bathroom, khas,dosa</t>
  </si>
  <si>
    <t>apex 127-131</t>
  </si>
  <si>
    <t xml:space="preserve">movie- durandhar,euphoria,dude, love today </t>
  </si>
  <si>
    <t>sowmya marriage</t>
  </si>
  <si>
    <t>3.5- sowmya calls, train ticket</t>
  </si>
  <si>
    <t>dairy</t>
  </si>
  <si>
    <t>pure time waste</t>
  </si>
  <si>
    <t>BCB-3, 0.75- pure time waste,went for oil-3</t>
  </si>
  <si>
    <t>major problems- BCB, movies</t>
  </si>
  <si>
    <t>khashayams</t>
  </si>
  <si>
    <t>daily max 2.5 u should get ready</t>
  </si>
  <si>
    <t>apex 140,141</t>
  </si>
  <si>
    <t>0.5- time pass, 0.5- head ache</t>
  </si>
  <si>
    <t>sollu calls</t>
  </si>
  <si>
    <t>lwc 57-60</t>
  </si>
  <si>
    <t>lwc 61-64</t>
  </si>
  <si>
    <t>1.5- charan resume help, calls- mohan, charan</t>
  </si>
  <si>
    <t>lwc practice 61-64</t>
  </si>
  <si>
    <t>water complaints</t>
  </si>
  <si>
    <t>financial</t>
  </si>
  <si>
    <t>water complaint-2, financial-0.5</t>
  </si>
  <si>
    <t>6-kollur search,1.5- totakura help,0.5- misc kitchen help</t>
  </si>
  <si>
    <t>2- house buying analysis</t>
  </si>
  <si>
    <t>8-synergy park interview,1- rent house search</t>
  </si>
  <si>
    <t>lwc 62-64</t>
  </si>
  <si>
    <t>lwc -65,66</t>
  </si>
  <si>
    <t>3- rent house search In kondapur</t>
  </si>
  <si>
    <t>real estate  house search 7 ,  analysis-1,rent house-4-kondapur</t>
  </si>
  <si>
    <t>practice</t>
  </si>
  <si>
    <t>june -12 is the target to complete full  salesforce syllabus</t>
  </si>
  <si>
    <t xml:space="preserve">1.5- swarup train chennai </t>
  </si>
  <si>
    <t>chair shopping -2.5</t>
  </si>
  <si>
    <t>chair buying went to nampally</t>
  </si>
  <si>
    <t>6.5-sai hospital</t>
  </si>
  <si>
    <t>sai hospital 6.5,health insurance 1.5, stem cell 4.5</t>
  </si>
  <si>
    <t xml:space="preserve">1.5-  santu exam help,1- aaku koora,0.5-water,4.5 -health insurance, sai stem cells, movie-24 </t>
  </si>
  <si>
    <t>2.5- santu resume apply- ibm,amgen,3.5- chair shoping</t>
  </si>
  <si>
    <t>charan resume help 1.5, swarup train ,calls</t>
  </si>
  <si>
    <t>4-semen analysis,1.25- calls charan helping him</t>
  </si>
  <si>
    <t>apex-127</t>
  </si>
  <si>
    <t>apex 132</t>
  </si>
  <si>
    <t>apex-136-138</t>
  </si>
  <si>
    <t>house work- bathroom clean, clean 1,house shop</t>
  </si>
  <si>
    <t>1-house clean, 1-BCB</t>
  </si>
  <si>
    <t xml:space="preserve">dialy kitchen work should be max 1 hour- (khashayam-0.5, antlu-soakin 0.5)
</t>
  </si>
  <si>
    <t>november 15 days</t>
  </si>
  <si>
    <t>till march 15</t>
  </si>
  <si>
    <t>feb</t>
  </si>
  <si>
    <t>201/6=33 hours</t>
  </si>
  <si>
    <t xml:space="preserve">studied java </t>
  </si>
  <si>
    <t xml:space="preserve">decided to go in java </t>
  </si>
  <si>
    <t xml:space="preserve">hospital-semn androgen, </t>
  </si>
  <si>
    <t>1.5- santu resume- wipro, cap, cog,2.5- my resume,1.5-temple,0.75- sollu calls with mohan</t>
  </si>
  <si>
    <t>java 17 features</t>
  </si>
  <si>
    <t>decided java</t>
  </si>
  <si>
    <t>santu exam help -resume naukari 4</t>
  </si>
  <si>
    <t>1-water, veg shopping,1-sf decision</t>
  </si>
  <si>
    <t>my resume 2.5, sf decision 1</t>
  </si>
  <si>
    <t>j-17 features</t>
  </si>
  <si>
    <r>
      <t xml:space="preserve">1) Open TV/youtube only once in a day - don’t open in lunch/dinner time as it is consuming more time (dinner -max15 mins)
 2) per day max youtube/TV is 20 minutes even on weekends-1st keep alarm and then see, 2 movies a month max
3) </t>
    </r>
    <r>
      <rPr>
        <b/>
        <sz val="12"/>
        <color theme="0"/>
        <rFont val="Calibri"/>
        <family val="2"/>
        <scheme val="minor"/>
      </rPr>
      <t>after 9:30 AM if u got bored , then just listen audio songs, dont see any video- if u see even a small video- later u will search it will waste ur time 
4) monthly max 2 movies- house +theatre (never goto 7PM 1st show bec this u will reach home by 11 PM u will sleep at 11:30PM)</t>
    </r>
    <r>
      <rPr>
        <sz val="11"/>
        <color theme="0"/>
        <rFont val="Calibri"/>
        <family val="2"/>
        <scheme val="minor"/>
      </rPr>
      <t xml:space="preserve">
note- if u already saw a movie on previous day don’t see on next day to compensate</t>
    </r>
  </si>
  <si>
    <t>relatives meeti- bindu pin</t>
  </si>
  <si>
    <t>5- bindu pin son barasala</t>
  </si>
  <si>
    <t>santu pickup</t>
  </si>
  <si>
    <t>aws 74-81</t>
  </si>
  <si>
    <t>0.5-med buy</t>
  </si>
  <si>
    <t>aws 81-87</t>
  </si>
  <si>
    <t>santosh trip search</t>
  </si>
  <si>
    <t>aws 73</t>
  </si>
  <si>
    <t>2.5- sai hosp, 1- naukari</t>
  </si>
  <si>
    <t>aws 65</t>
  </si>
  <si>
    <t>kitchen , house work- cash with,water 1 , house shoping,med,bathroom cle-1</t>
  </si>
  <si>
    <t xml:space="preserve">neelima sollu calls </t>
  </si>
  <si>
    <t>1-veg shop ,0.5- kha,kit help,1-bathroom clean,3.5- neelima came,2.5- new busin analy</t>
  </si>
  <si>
    <t>new business analysis</t>
  </si>
  <si>
    <t>AWS 66-68</t>
  </si>
  <si>
    <t>3.5 -tv serial</t>
  </si>
  <si>
    <t>movies (monthly max 2)- DeAr, vishnu vinyasam-9, movie-24,USTAAD, 3.5- tv serial, kerala stories movie -total 6 movies</t>
  </si>
  <si>
    <t>4-financial calculations</t>
  </si>
  <si>
    <t>aws 88-95</t>
  </si>
  <si>
    <t xml:space="preserve">over new </t>
  </si>
  <si>
    <t>3- listening to syria news</t>
  </si>
  <si>
    <t>0.5- kitchen help</t>
  </si>
  <si>
    <t>temple- temple should be max 30 mins not hours</t>
  </si>
  <si>
    <t>hospital-semn androgen, hair cut-1,hosp-1</t>
  </si>
  <si>
    <t>house related shopping- veg buy, millet shop buy</t>
  </si>
  <si>
    <t>kitchen , house work-, bathroom cleaning</t>
  </si>
  <si>
    <t>1-hair cut,1-hosp,1-veg shopping,1-over temple</t>
  </si>
  <si>
    <t xml:space="preserve">use unhook chrome exetnsion -- to hide recommendations,home page videos  in youtube </t>
  </si>
  <si>
    <t>movies (prev march month saw 6 movies) -bhartha mahasayulaku</t>
  </si>
  <si>
    <t>aws 96-103, spr 20-22</t>
  </si>
  <si>
    <t>target- aws,  react</t>
  </si>
  <si>
    <t>2.5- calls with swarup,teja,han,mohan,mom,sai</t>
  </si>
  <si>
    <t>r-3.5,aws 104-112</t>
  </si>
  <si>
    <t>hosp related- claims 1.5</t>
  </si>
  <si>
    <t>personal shoping-chari 0.5</t>
  </si>
  <si>
    <t>1.5- submit medibudy claim amounts, 0.5- chair shopping</t>
  </si>
</sst>
</file>

<file path=xl/styles.xml><?xml version="1.0" encoding="utf-8"?>
<styleSheet xmlns="http://schemas.openxmlformats.org/spreadsheetml/2006/main" xmlns:mc="http://schemas.openxmlformats.org/markup-compatibility/2006" xmlns:x14ac="http://schemas.microsoft.com/office/spreadsheetml/2009/9/ac" mc:Ignorable="x14ac">
  <fonts count="52">
    <font>
      <sz val="11"/>
      <color theme="1"/>
      <name val="Calibri"/>
      <family val="2"/>
      <scheme val="minor"/>
    </font>
    <font>
      <sz val="11"/>
      <color rgb="FF9C6500"/>
      <name val="Calibri"/>
      <family val="2"/>
      <scheme val="minor"/>
    </font>
    <font>
      <sz val="11"/>
      <color rgb="FF9C0006"/>
      <name val="Calibri"/>
      <family val="2"/>
      <scheme val="minor"/>
    </font>
    <font>
      <sz val="11"/>
      <color rgb="FF006100"/>
      <name val="Calibri"/>
      <family val="2"/>
      <scheme val="minor"/>
    </font>
    <font>
      <sz val="11"/>
      <color theme="1"/>
      <name val="Calibri"/>
      <family val="2"/>
      <scheme val="minor"/>
    </font>
    <font>
      <sz val="11"/>
      <color rgb="FF3F3F76"/>
      <name val="Calibri"/>
      <family val="2"/>
      <scheme val="minor"/>
    </font>
    <font>
      <sz val="11"/>
      <color theme="0"/>
      <name val="Calibri"/>
      <family val="2"/>
      <scheme val="minor"/>
    </font>
    <font>
      <sz val="11"/>
      <color theme="1"/>
      <name val="Segoe UI"/>
      <family val="2"/>
    </font>
    <font>
      <sz val="11"/>
      <color theme="7"/>
      <name val="Segoe UI"/>
      <family val="2"/>
    </font>
    <font>
      <b/>
      <sz val="11"/>
      <color theme="4"/>
      <name val="Segoe UI"/>
      <family val="2"/>
    </font>
    <font>
      <sz val="11"/>
      <color theme="4"/>
      <name val="Segoe UI"/>
      <family val="2"/>
    </font>
    <font>
      <sz val="16"/>
      <color rgb="FF9C6500"/>
      <name val="Segoe UI"/>
      <family val="2"/>
    </font>
    <font>
      <sz val="12"/>
      <color theme="1"/>
      <name val="Candara"/>
      <family val="2"/>
    </font>
    <font>
      <sz val="12"/>
      <color theme="0"/>
      <name val="Candara"/>
      <family val="2"/>
    </font>
    <font>
      <sz val="12"/>
      <color rgb="FF9C0006"/>
      <name val="Candara"/>
      <family val="2"/>
    </font>
    <font>
      <sz val="11"/>
      <color rgb="FF9C6500"/>
      <name val="Segoe UI"/>
      <family val="2"/>
    </font>
    <font>
      <u/>
      <sz val="11"/>
      <color theme="10"/>
      <name val="Calibri"/>
      <family val="2"/>
      <scheme val="minor"/>
    </font>
    <font>
      <sz val="11"/>
      <color theme="1"/>
      <name val="Segoe UI Emoji"/>
      <family val="2"/>
    </font>
    <font>
      <b/>
      <sz val="11"/>
      <color theme="9"/>
      <name val="Segoe UI"/>
      <family val="2"/>
    </font>
    <font>
      <sz val="11"/>
      <color theme="0"/>
      <name val="Comic Sans MS"/>
      <family val="4"/>
    </font>
    <font>
      <sz val="11"/>
      <color rgb="FFD60093"/>
      <name val="Segoe UI Emoji"/>
      <family val="2"/>
    </font>
    <font>
      <sz val="14"/>
      <color theme="0"/>
      <name val="Berlin Sans FB"/>
      <family val="2"/>
    </font>
    <font>
      <b/>
      <sz val="11"/>
      <color rgb="FFFF0066"/>
      <name val="Segoe UI"/>
      <family val="2"/>
    </font>
    <font>
      <sz val="12"/>
      <color rgb="FF9C6500"/>
      <name val="Segoe UI"/>
      <family val="2"/>
    </font>
    <font>
      <sz val="12"/>
      <color theme="0"/>
      <name val="Calibri"/>
      <family val="2"/>
      <scheme val="minor"/>
    </font>
    <font>
      <sz val="16"/>
      <color theme="0"/>
      <name val="Century Gothic"/>
      <family val="2"/>
    </font>
    <font>
      <sz val="11"/>
      <color theme="1"/>
      <name val="Malgun Gothic"/>
      <family val="2"/>
    </font>
    <font>
      <b/>
      <sz val="14"/>
      <color theme="0"/>
      <name val="Calibri"/>
      <family val="2"/>
      <scheme val="minor"/>
    </font>
    <font>
      <sz val="12"/>
      <color theme="1"/>
      <name val="Candara"/>
    </font>
    <font>
      <sz val="13"/>
      <color theme="0"/>
      <name val="Calibri"/>
      <family val="2"/>
      <scheme val="minor"/>
    </font>
    <font>
      <sz val="12"/>
      <color theme="1"/>
      <name val="Calibri"/>
      <family val="2"/>
      <scheme val="minor"/>
    </font>
    <font>
      <sz val="15"/>
      <color theme="0"/>
      <name val="Calibri"/>
      <family val="2"/>
      <scheme val="minor"/>
    </font>
    <font>
      <sz val="11"/>
      <color theme="1"/>
      <name val="Maiandra GD"/>
      <family val="2"/>
    </font>
    <font>
      <sz val="14"/>
      <color theme="0"/>
      <name val="Calibri"/>
      <family val="2"/>
      <scheme val="minor"/>
    </font>
    <font>
      <sz val="10"/>
      <color theme="1"/>
      <name val="Arial"/>
      <family val="2"/>
    </font>
    <font>
      <b/>
      <sz val="10"/>
      <color theme="1"/>
      <name val="Comfortaa"/>
    </font>
    <font>
      <sz val="11"/>
      <color theme="1"/>
      <name val="Noto Sans"/>
    </font>
    <font>
      <sz val="12"/>
      <color theme="1"/>
      <name val="Noto Sans"/>
    </font>
    <font>
      <sz val="12"/>
      <color theme="1"/>
      <name val="Verdana"/>
      <family val="2"/>
    </font>
    <font>
      <sz val="14"/>
      <color theme="1"/>
      <name val="Comfortaa"/>
    </font>
    <font>
      <sz val="14"/>
      <color theme="1"/>
      <name val="Noto Sans"/>
    </font>
    <font>
      <sz val="14"/>
      <color theme="1"/>
      <name val="Calibri"/>
      <family val="2"/>
      <scheme val="minor"/>
    </font>
    <font>
      <sz val="14"/>
      <color rgb="FF434343"/>
      <name val="Nunito"/>
    </font>
    <font>
      <sz val="14"/>
      <color theme="1"/>
      <name val="Nunito"/>
    </font>
    <font>
      <sz val="14"/>
      <color rgb="FF7F6000"/>
      <name val="Lexend"/>
    </font>
    <font>
      <sz val="12"/>
      <color theme="1"/>
      <name val="Calibri"/>
      <scheme val="minor"/>
    </font>
    <font>
      <b/>
      <sz val="11"/>
      <color theme="0"/>
      <name val="Calibri"/>
      <family val="2"/>
      <scheme val="minor"/>
    </font>
    <font>
      <b/>
      <sz val="11"/>
      <color theme="1"/>
      <name val="Calibri"/>
      <family val="2"/>
      <scheme val="minor"/>
    </font>
    <font>
      <b/>
      <sz val="11"/>
      <color theme="1"/>
      <name val="Segoe UI"/>
      <family val="2"/>
    </font>
    <font>
      <sz val="11"/>
      <color theme="0"/>
      <name val="Bahnschrift SemiBold"/>
      <family val="2"/>
    </font>
    <font>
      <b/>
      <sz val="12"/>
      <color theme="0"/>
      <name val="Calibri"/>
      <family val="2"/>
      <scheme val="minor"/>
    </font>
    <font>
      <sz val="11"/>
      <color theme="1"/>
      <name val="OCR A Extended"/>
      <family val="3"/>
    </font>
  </fonts>
  <fills count="38">
    <fill>
      <patternFill patternType="none"/>
    </fill>
    <fill>
      <patternFill patternType="gray125"/>
    </fill>
    <fill>
      <patternFill patternType="solid">
        <fgColor rgb="FFFFEB9C"/>
      </patternFill>
    </fill>
    <fill>
      <patternFill patternType="solid">
        <fgColor rgb="FFFFCC99"/>
      </patternFill>
    </fill>
    <fill>
      <patternFill patternType="solid">
        <fgColor rgb="FFFFC7CE"/>
      </patternFill>
    </fill>
    <fill>
      <patternFill patternType="solid">
        <fgColor rgb="FFC6EFCE"/>
      </patternFill>
    </fill>
    <fill>
      <patternFill patternType="solid">
        <fgColor theme="4" tint="0.59999389629810485"/>
        <bgColor indexed="65"/>
      </patternFill>
    </fill>
    <fill>
      <patternFill patternType="solid">
        <fgColor theme="5" tint="0.39997558519241921"/>
        <bgColor indexed="65"/>
      </patternFill>
    </fill>
    <fill>
      <patternFill patternType="solid">
        <fgColor theme="7"/>
      </patternFill>
    </fill>
    <fill>
      <patternFill patternType="solid">
        <fgColor theme="8" tint="0.59999389629810485"/>
        <bgColor indexed="65"/>
      </patternFill>
    </fill>
    <fill>
      <patternFill patternType="solid">
        <fgColor theme="9" tint="0.59999389629810485"/>
        <bgColor indexed="65"/>
      </patternFill>
    </fill>
    <fill>
      <patternFill patternType="solid">
        <fgColor theme="6"/>
      </patternFill>
    </fill>
    <fill>
      <patternFill patternType="solid">
        <fgColor theme="6" tint="0.59999389629810485"/>
        <bgColor indexed="65"/>
      </patternFill>
    </fill>
    <fill>
      <patternFill patternType="solid">
        <fgColor theme="5"/>
      </patternFill>
    </fill>
    <fill>
      <patternFill patternType="solid">
        <fgColor rgb="FFFF9999"/>
        <bgColor indexed="64"/>
      </patternFill>
    </fill>
    <fill>
      <patternFill patternType="solid">
        <fgColor theme="8"/>
      </patternFill>
    </fill>
    <fill>
      <patternFill patternType="solid">
        <fgColor theme="7" tint="0.39997558519241921"/>
        <bgColor indexed="65"/>
      </patternFill>
    </fill>
    <fill>
      <patternFill patternType="solid">
        <fgColor rgb="FFFF9966"/>
        <bgColor indexed="64"/>
      </patternFill>
    </fill>
    <fill>
      <patternFill patternType="solid">
        <fgColor theme="9" tint="0.39997558519241921"/>
        <bgColor indexed="65"/>
      </patternFill>
    </fill>
    <fill>
      <patternFill patternType="solid">
        <fgColor theme="7" tint="0.59999389629810485"/>
        <bgColor indexed="65"/>
      </patternFill>
    </fill>
    <fill>
      <patternFill patternType="solid">
        <fgColor theme="7" tint="0.79998168889431442"/>
        <bgColor indexed="65"/>
      </patternFill>
    </fill>
    <fill>
      <patternFill patternType="solid">
        <fgColor rgb="FFEEF7E3"/>
        <bgColor indexed="64"/>
      </patternFill>
    </fill>
    <fill>
      <patternFill patternType="solid">
        <fgColor rgb="FFF9CB9C"/>
        <bgColor indexed="64"/>
      </patternFill>
    </fill>
    <fill>
      <patternFill patternType="solid">
        <fgColor rgb="FFFFFFFF"/>
        <bgColor indexed="64"/>
      </patternFill>
    </fill>
    <fill>
      <patternFill patternType="solid">
        <fgColor rgb="FFB7E1CD"/>
        <bgColor indexed="64"/>
      </patternFill>
    </fill>
    <fill>
      <patternFill patternType="solid">
        <fgColor rgb="FFE7F9EF"/>
        <bgColor indexed="64"/>
      </patternFill>
    </fill>
    <fill>
      <patternFill patternType="solid">
        <fgColor rgb="FFE0F7FA"/>
        <bgColor indexed="64"/>
      </patternFill>
    </fill>
    <fill>
      <patternFill patternType="solid">
        <fgColor rgb="FFFEF8E3"/>
        <bgColor indexed="64"/>
      </patternFill>
    </fill>
    <fill>
      <patternFill patternType="solid">
        <fgColor rgb="FFFFE6DD"/>
        <bgColor indexed="64"/>
      </patternFill>
    </fill>
    <fill>
      <patternFill patternType="solid">
        <fgColor rgb="FFFFFFCC"/>
      </patternFill>
    </fill>
    <fill>
      <patternFill patternType="solid">
        <fgColor rgb="FFA5A5A5"/>
      </patternFill>
    </fill>
    <fill>
      <patternFill patternType="solid">
        <fgColor theme="0"/>
        <bgColor indexed="64"/>
      </patternFill>
    </fill>
    <fill>
      <patternFill patternType="solid">
        <fgColor theme="8" tint="0.39997558519241921"/>
        <bgColor indexed="65"/>
      </patternFill>
    </fill>
    <fill>
      <gradientFill type="path">
        <stop position="0">
          <color theme="0"/>
        </stop>
        <stop position="1">
          <color rgb="FFCCCC00"/>
        </stop>
      </gradientFill>
    </fill>
    <fill>
      <patternFill patternType="solid">
        <fgColor theme="9"/>
      </patternFill>
    </fill>
    <fill>
      <gradientFill degree="45">
        <stop position="0">
          <color theme="0"/>
        </stop>
        <stop position="0.5">
          <color rgb="FFFFCC00"/>
        </stop>
        <stop position="1">
          <color theme="0"/>
        </stop>
      </gradientFill>
    </fill>
    <fill>
      <gradientFill>
        <stop position="0">
          <color theme="0"/>
        </stop>
        <stop position="0.5">
          <color rgb="FF00B0F0"/>
        </stop>
        <stop position="1">
          <color theme="0"/>
        </stop>
      </gradientFill>
    </fill>
    <fill>
      <gradientFill>
        <stop position="0">
          <color rgb="FFFFCC00"/>
        </stop>
        <stop position="0.5">
          <color rgb="FFFF9966"/>
        </stop>
        <stop position="1">
          <color rgb="FFFFCC00"/>
        </stop>
      </gradientFill>
    </fill>
  </fills>
  <borders count="4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B2B2B2"/>
      </left>
      <right/>
      <top style="thin">
        <color rgb="FFB2B2B2"/>
      </top>
      <bottom style="thin">
        <color rgb="FFB2B2B2"/>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dotted">
        <color theme="7" tint="-0.249977111117893"/>
      </left>
      <right style="dotted">
        <color theme="7" tint="-0.249977111117893"/>
      </right>
      <top style="thin">
        <color indexed="64"/>
      </top>
      <bottom style="thin">
        <color indexed="64"/>
      </bottom>
      <diagonal/>
    </border>
    <border>
      <left style="dotted">
        <color theme="7" tint="-0.249977111117893"/>
      </left>
      <right style="thin">
        <color indexed="64"/>
      </right>
      <top style="thin">
        <color indexed="64"/>
      </top>
      <bottom style="dotted">
        <color theme="7" tint="-0.249977111117893"/>
      </bottom>
      <diagonal/>
    </border>
    <border>
      <left style="medium">
        <color rgb="FFCCCCCC"/>
      </left>
      <right style="medium">
        <color rgb="FFCCCCCC"/>
      </right>
      <top style="medium">
        <color rgb="FFCCCCCC"/>
      </top>
      <bottom style="medium">
        <color rgb="FFCCCCCC"/>
      </bottom>
      <diagonal/>
    </border>
    <border>
      <left/>
      <right/>
      <top style="dotted">
        <color theme="7" tint="-0.249977111117893"/>
      </top>
      <bottom style="thin">
        <color indexed="64"/>
      </bottom>
      <diagonal/>
    </border>
    <border>
      <left/>
      <right/>
      <top style="thin">
        <color indexed="64"/>
      </top>
      <bottom style="dotted">
        <color theme="7" tint="-0.249977111117893"/>
      </bottom>
      <diagonal/>
    </border>
    <border>
      <left style="thin">
        <color indexed="64"/>
      </left>
      <right/>
      <top style="thin">
        <color indexed="64"/>
      </top>
      <bottom style="dotted">
        <color theme="7" tint="-0.249977111117893"/>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right style="thin">
        <color indexed="64"/>
      </right>
      <top/>
      <bottom/>
      <diagonal/>
    </border>
    <border>
      <left style="thin">
        <color indexed="64"/>
      </left>
      <right style="thin">
        <color indexed="64"/>
      </right>
      <top/>
      <bottom/>
      <diagonal/>
    </border>
    <border>
      <left/>
      <right/>
      <top style="thin">
        <color theme="4"/>
      </top>
      <bottom style="double">
        <color theme="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thin">
        <color theme="9" tint="-0.249977111117893"/>
      </right>
      <top style="thin">
        <color theme="9" tint="-0.249977111117893"/>
      </top>
      <bottom style="thin">
        <color indexed="64"/>
      </bottom>
      <diagonal/>
    </border>
    <border>
      <left style="thin">
        <color theme="9" tint="-0.249977111117893"/>
      </left>
      <right style="thin">
        <color theme="9" tint="-0.249977111117893"/>
      </right>
      <top style="thin">
        <color indexed="64"/>
      </top>
      <bottom style="thin">
        <color indexed="64"/>
      </bottom>
      <diagonal/>
    </border>
    <border>
      <left style="thin">
        <color theme="9" tint="-0.249977111117893"/>
      </left>
      <right style="thin">
        <color theme="9" tint="-0.249977111117893"/>
      </right>
      <top style="thin">
        <color indexed="64"/>
      </top>
      <bottom style="thin">
        <color theme="9" tint="-0.249977111117893"/>
      </bottom>
      <diagonal/>
    </border>
    <border>
      <left style="thin">
        <color theme="9" tint="-0.249977111117893"/>
      </left>
      <right style="thin">
        <color theme="9" tint="-0.249977111117893"/>
      </right>
      <top/>
      <bottom style="thin">
        <color indexed="64"/>
      </bottom>
      <diagonal/>
    </border>
    <border>
      <left/>
      <right style="thin">
        <color theme="9" tint="-0.249977111117893"/>
      </right>
      <top/>
      <bottom/>
      <diagonal/>
    </border>
    <border>
      <left/>
      <right/>
      <top style="thin">
        <color theme="9" tint="-0.249977111117893"/>
      </top>
      <bottom/>
      <diagonal/>
    </border>
    <border>
      <left style="thin">
        <color indexed="64"/>
      </left>
      <right style="thin">
        <color indexed="64"/>
      </right>
      <top/>
      <bottom style="thin">
        <color indexed="64"/>
      </bottom>
      <diagonal/>
    </border>
    <border>
      <left style="thin">
        <color theme="9" tint="-0.249977111117893"/>
      </left>
      <right style="thin">
        <color theme="9" tint="-0.249977111117893"/>
      </right>
      <top style="thin">
        <color indexed="64"/>
      </top>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diagonal/>
    </border>
  </borders>
  <cellStyleXfs count="28">
    <xf numFmtId="0" fontId="0" fillId="0" borderId="0"/>
    <xf numFmtId="0" fontId="1" fillId="2" borderId="0" applyNumberFormat="0" applyBorder="0" applyAlignment="0" applyProtection="0"/>
    <xf numFmtId="0" fontId="2" fillId="4" borderId="0" applyNumberFormat="0" applyBorder="0" applyAlignment="0" applyProtection="0"/>
    <xf numFmtId="0" fontId="3" fillId="5" borderId="0" applyNumberFormat="0" applyBorder="0" applyAlignment="0" applyProtection="0"/>
    <xf numFmtId="0" fontId="5" fillId="3" borderId="1" applyNumberFormat="0" applyAlignment="0" applyProtection="0"/>
    <xf numFmtId="0" fontId="4"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6" fillId="11" borderId="0" applyNumberFormat="0" applyBorder="0" applyAlignment="0" applyProtection="0"/>
    <xf numFmtId="0" fontId="16" fillId="0" borderId="0" applyNumberFormat="0" applyFill="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9" borderId="7" applyNumberFormat="0" applyFont="0" applyAlignment="0" applyProtection="0"/>
    <xf numFmtId="0" fontId="46" fillId="30" borderId="9" applyNumberFormat="0" applyAlignment="0" applyProtection="0"/>
    <xf numFmtId="0" fontId="6" fillId="32" borderId="0" applyNumberFormat="0" applyBorder="0" applyAlignment="0" applyProtection="0"/>
    <xf numFmtId="0" fontId="47" fillId="0" borderId="30" applyNumberFormat="0" applyFill="0" applyAlignment="0" applyProtection="0"/>
    <xf numFmtId="0" fontId="4" fillId="33" borderId="3" applyFont="0" applyBorder="0" applyAlignment="0">
      <alignment horizontal="center"/>
    </xf>
    <xf numFmtId="0" fontId="6" fillId="34" borderId="0" applyNumberFormat="0" applyBorder="0" applyAlignment="0" applyProtection="0"/>
    <xf numFmtId="0" fontId="7" fillId="35" borderId="0">
      <alignment horizontal="center" vertical="center" wrapText="1"/>
    </xf>
    <xf numFmtId="0" fontId="7" fillId="36" borderId="0">
      <alignment horizontal="center" vertical="center" wrapText="1"/>
    </xf>
    <xf numFmtId="0" fontId="7" fillId="37" borderId="0" applyFont="0" applyAlignment="0">
      <alignment horizontal="center" vertical="center" wrapText="1"/>
    </xf>
  </cellStyleXfs>
  <cellXfs count="393">
    <xf numFmtId="0" fontId="0" fillId="0" borderId="0" xfId="0"/>
    <xf numFmtId="0" fontId="0" fillId="0" borderId="0" xfId="0" applyAlignment="1">
      <alignment wrapText="1"/>
    </xf>
    <xf numFmtId="0" fontId="0" fillId="0" borderId="0" xfId="0" applyAlignment="1">
      <alignment horizontal="center"/>
    </xf>
    <xf numFmtId="0" fontId="0" fillId="0" borderId="0" xfId="0"/>
    <xf numFmtId="0" fontId="0" fillId="0" borderId="0" xfId="0" applyFill="1" applyBorder="1" applyAlignment="1">
      <alignment horizontal="center"/>
    </xf>
    <xf numFmtId="0" fontId="7" fillId="0" borderId="0" xfId="0" applyFont="1" applyAlignment="1">
      <alignment wrapText="1"/>
    </xf>
    <xf numFmtId="0" fontId="8" fillId="0" borderId="0" xfId="0" applyFont="1" applyAlignment="1">
      <alignment wrapText="1"/>
    </xf>
    <xf numFmtId="0" fontId="7" fillId="0" borderId="0" xfId="0" applyFont="1" applyAlignment="1">
      <alignment vertical="top" wrapText="1"/>
    </xf>
    <xf numFmtId="0" fontId="11" fillId="2" borderId="7" xfId="1" applyFont="1" applyBorder="1" applyAlignment="1">
      <alignment horizontal="center" vertical="top" wrapText="1"/>
    </xf>
    <xf numFmtId="0" fontId="7" fillId="0" borderId="0" xfId="0" applyFont="1"/>
    <xf numFmtId="16" fontId="7" fillId="0" borderId="0" xfId="0" applyNumberFormat="1" applyFont="1"/>
    <xf numFmtId="0" fontId="12" fillId="0" borderId="2" xfId="0" applyFont="1" applyFill="1" applyBorder="1" applyAlignment="1">
      <alignment horizontal="center"/>
    </xf>
    <xf numFmtId="0" fontId="0" fillId="0" borderId="0" xfId="0" applyAlignment="1">
      <alignment horizontal="right"/>
    </xf>
    <xf numFmtId="0" fontId="0" fillId="0" borderId="0" xfId="0"/>
    <xf numFmtId="0" fontId="7" fillId="0" borderId="0" xfId="0" applyFont="1" applyFill="1" applyBorder="1"/>
    <xf numFmtId="49" fontId="0" fillId="0" borderId="0" xfId="0" applyNumberFormat="1"/>
    <xf numFmtId="0" fontId="18" fillId="0" borderId="0" xfId="0" applyFont="1"/>
    <xf numFmtId="0" fontId="0" fillId="0" borderId="0" xfId="0"/>
    <xf numFmtId="0" fontId="19" fillId="11" borderId="0" xfId="10" applyFont="1"/>
    <xf numFmtId="0" fontId="12" fillId="0" borderId="0" xfId="0" applyFont="1" applyBorder="1" applyAlignment="1">
      <alignment horizontal="center"/>
    </xf>
    <xf numFmtId="0" fontId="12" fillId="9" borderId="2" xfId="8" applyFont="1" applyBorder="1" applyAlignment="1">
      <alignment horizontal="center" vertical="center"/>
    </xf>
    <xf numFmtId="0" fontId="12" fillId="0" borderId="0" xfId="0" applyFont="1" applyAlignment="1">
      <alignment horizontal="center"/>
    </xf>
    <xf numFmtId="0" fontId="14" fillId="0" borderId="2" xfId="2" applyFont="1" applyFill="1" applyBorder="1" applyAlignment="1">
      <alignment horizontal="center" vertical="center"/>
    </xf>
    <xf numFmtId="0" fontId="13" fillId="0" borderId="2" xfId="7" applyFont="1" applyFill="1" applyBorder="1" applyAlignment="1">
      <alignment horizontal="center"/>
    </xf>
    <xf numFmtId="0" fontId="12" fillId="0" borderId="3" xfId="0" applyFont="1" applyFill="1" applyBorder="1" applyAlignment="1">
      <alignment horizontal="center"/>
    </xf>
    <xf numFmtId="0" fontId="12" fillId="0" borderId="10"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3" xfId="0" applyFont="1" applyBorder="1" applyAlignment="1">
      <alignment horizontal="center"/>
    </xf>
    <xf numFmtId="0" fontId="7" fillId="0" borderId="11" xfId="0" applyFont="1" applyBorder="1" applyAlignment="1">
      <alignment horizontal="center"/>
    </xf>
    <xf numFmtId="0" fontId="6" fillId="13" borderId="2" xfId="13" applyBorder="1"/>
    <xf numFmtId="0" fontId="7" fillId="0" borderId="2" xfId="0" applyFont="1" applyBorder="1"/>
    <xf numFmtId="0" fontId="7" fillId="14" borderId="2" xfId="0" applyFont="1" applyFill="1" applyBorder="1" applyAlignment="1">
      <alignment vertical="center" wrapText="1"/>
    </xf>
    <xf numFmtId="0" fontId="9" fillId="0" borderId="0" xfId="0" applyFont="1" applyAlignment="1">
      <alignment horizontal="center" vertical="center" wrapText="1"/>
    </xf>
    <xf numFmtId="0" fontId="10" fillId="0" borderId="0" xfId="0" applyFont="1" applyAlignment="1">
      <alignment vertical="center" wrapText="1"/>
    </xf>
    <xf numFmtId="0" fontId="20" fillId="0" borderId="0" xfId="0" applyFont="1"/>
    <xf numFmtId="0" fontId="0" fillId="0" borderId="0" xfId="0" applyAlignment="1"/>
    <xf numFmtId="0" fontId="22" fillId="0" borderId="0" xfId="0" applyFont="1"/>
    <xf numFmtId="0" fontId="23" fillId="2" borderId="13" xfId="1" applyFont="1" applyBorder="1" applyAlignment="1">
      <alignment horizontal="center" vertical="top" wrapText="1"/>
    </xf>
    <xf numFmtId="0" fontId="25" fillId="15" borderId="2" xfId="14" applyFont="1" applyBorder="1" applyAlignment="1">
      <alignment horizontal="center" wrapText="1"/>
    </xf>
    <xf numFmtId="0" fontId="25" fillId="15" borderId="2" xfId="14" applyFont="1" applyBorder="1"/>
    <xf numFmtId="0" fontId="24" fillId="13" borderId="0" xfId="13" applyFont="1"/>
    <xf numFmtId="0" fontId="26" fillId="10" borderId="2" xfId="9" applyFont="1" applyBorder="1" applyAlignment="1">
      <alignment horizontal="center" wrapText="1"/>
    </xf>
    <xf numFmtId="0" fontId="28" fillId="0" borderId="11" xfId="0" applyFont="1" applyFill="1" applyBorder="1" applyAlignment="1">
      <alignment horizontal="center"/>
    </xf>
    <xf numFmtId="0" fontId="12" fillId="0" borderId="3" xfId="6" applyFont="1" applyFill="1" applyBorder="1" applyAlignment="1">
      <alignment horizontal="center" wrapText="1"/>
    </xf>
    <xf numFmtId="0" fontId="6" fillId="11" borderId="0" xfId="10" applyAlignment="1">
      <alignment horizontal="right"/>
    </xf>
    <xf numFmtId="49" fontId="0" fillId="0" borderId="2" xfId="0" applyNumberFormat="1" applyBorder="1"/>
    <xf numFmtId="0" fontId="0" fillId="0" borderId="2" xfId="0" applyBorder="1"/>
    <xf numFmtId="0" fontId="28" fillId="0" borderId="2" xfId="0" applyFont="1" applyFill="1" applyBorder="1" applyAlignment="1">
      <alignment horizontal="center"/>
    </xf>
    <xf numFmtId="0" fontId="24" fillId="11" borderId="2" xfId="10" applyFont="1" applyBorder="1"/>
    <xf numFmtId="0" fontId="6" fillId="15" borderId="2" xfId="14" applyBorder="1"/>
    <xf numFmtId="0" fontId="7" fillId="14" borderId="2" xfId="0" applyFont="1" applyFill="1" applyBorder="1" applyAlignment="1">
      <alignment vertical="top" wrapText="1"/>
    </xf>
    <xf numFmtId="0" fontId="0" fillId="0" borderId="0" xfId="0" applyAlignment="1">
      <alignment horizontal="center"/>
    </xf>
    <xf numFmtId="0" fontId="0" fillId="0" borderId="0" xfId="0"/>
    <xf numFmtId="0" fontId="0" fillId="0" borderId="0" xfId="0" applyFill="1" applyBorder="1" applyAlignment="1">
      <alignment horizontal="center"/>
    </xf>
    <xf numFmtId="0" fontId="7" fillId="0" borderId="0" xfId="0" applyFont="1"/>
    <xf numFmtId="0" fontId="7" fillId="0" borderId="0" xfId="0" applyFont="1" applyAlignment="1">
      <alignment horizontal="center" vertical="center" wrapText="1"/>
    </xf>
    <xf numFmtId="0" fontId="4" fillId="6" borderId="2" xfId="5" applyBorder="1" applyAlignment="1">
      <alignment horizontal="center"/>
    </xf>
    <xf numFmtId="0" fontId="4" fillId="6" borderId="12" xfId="5" applyBorder="1" applyAlignment="1">
      <alignment horizontal="center"/>
    </xf>
    <xf numFmtId="0" fontId="4" fillId="6" borderId="12" xfId="5" applyNumberFormat="1" applyBorder="1" applyAlignment="1">
      <alignment horizontal="center"/>
    </xf>
    <xf numFmtId="0" fontId="0" fillId="0" borderId="0" xfId="0" applyFill="1" applyBorder="1"/>
    <xf numFmtId="0" fontId="3" fillId="5" borderId="2" xfId="3" applyBorder="1" applyAlignment="1">
      <alignment vertical="top" wrapText="1"/>
    </xf>
    <xf numFmtId="0" fontId="3" fillId="5" borderId="2" xfId="3" applyBorder="1"/>
    <xf numFmtId="0" fontId="32" fillId="0" borderId="0" xfId="0" applyFont="1" applyFill="1" applyBorder="1"/>
    <xf numFmtId="0" fontId="28" fillId="0" borderId="12" xfId="2" applyFont="1" applyFill="1" applyBorder="1" applyAlignment="1">
      <alignment horizontal="center"/>
    </xf>
    <xf numFmtId="0" fontId="0" fillId="0" borderId="0" xfId="0" applyAlignment="1">
      <alignment horizontal="center" vertical="center"/>
    </xf>
    <xf numFmtId="16" fontId="7" fillId="0" borderId="0" xfId="0" applyNumberFormat="1" applyFont="1" applyAlignment="1">
      <alignment horizontal="center"/>
    </xf>
    <xf numFmtId="0" fontId="0" fillId="0" borderId="0" xfId="0" applyFill="1" applyBorder="1" applyAlignment="1">
      <alignment horizontal="center" vertical="center"/>
    </xf>
    <xf numFmtId="0" fontId="4" fillId="6" borderId="2" xfId="5" applyNumberFormat="1" applyBorder="1" applyAlignment="1">
      <alignment horizontal="center"/>
    </xf>
    <xf numFmtId="0" fontId="6" fillId="7" borderId="12" xfId="6" applyBorder="1" applyAlignment="1">
      <alignment horizontal="center"/>
    </xf>
    <xf numFmtId="0" fontId="6" fillId="7" borderId="12" xfId="6" applyNumberFormat="1" applyBorder="1" applyAlignment="1">
      <alignment horizontal="center"/>
    </xf>
    <xf numFmtId="0" fontId="33" fillId="13" borderId="3" xfId="13" applyFont="1" applyBorder="1" applyAlignment="1">
      <alignment horizontal="center"/>
    </xf>
    <xf numFmtId="0" fontId="33" fillId="13" borderId="2" xfId="13" applyFont="1" applyBorder="1" applyAlignment="1">
      <alignment horizontal="center"/>
    </xf>
    <xf numFmtId="0" fontId="6" fillId="15" borderId="10" xfId="14" applyBorder="1"/>
    <xf numFmtId="16" fontId="24" fillId="11" borderId="2" xfId="10" applyNumberFormat="1" applyFont="1" applyBorder="1"/>
    <xf numFmtId="0" fontId="28" fillId="0" borderId="12" xfId="0" applyFont="1" applyFill="1" applyBorder="1" applyAlignment="1">
      <alignment horizontal="center"/>
    </xf>
    <xf numFmtId="0" fontId="0" fillId="0" borderId="0" xfId="0"/>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7" fillId="0" borderId="0" xfId="0" applyFont="1"/>
    <xf numFmtId="0" fontId="6" fillId="16" borderId="2" xfId="15" applyBorder="1" applyAlignment="1">
      <alignment vertical="center" wrapText="1"/>
    </xf>
    <xf numFmtId="0" fontId="6" fillId="16" borderId="2" xfId="15" applyBorder="1" applyAlignment="1">
      <alignment vertical="top" wrapText="1"/>
    </xf>
    <xf numFmtId="0" fontId="30" fillId="19" borderId="3" xfId="17" applyFont="1" applyBorder="1" applyAlignment="1">
      <alignment horizontal="center"/>
    </xf>
    <xf numFmtId="0" fontId="30" fillId="19" borderId="2" xfId="17" applyFont="1" applyBorder="1" applyAlignment="1">
      <alignment horizontal="center"/>
    </xf>
    <xf numFmtId="0" fontId="30" fillId="19" borderId="12" xfId="17" applyFont="1" applyBorder="1" applyAlignment="1">
      <alignment horizontal="center"/>
    </xf>
    <xf numFmtId="0" fontId="30" fillId="19" borderId="12" xfId="17" applyNumberFormat="1" applyFont="1" applyBorder="1" applyAlignment="1">
      <alignment horizontal="center"/>
    </xf>
    <xf numFmtId="0" fontId="30" fillId="19" borderId="10" xfId="17" applyFont="1" applyBorder="1" applyAlignment="1">
      <alignment horizontal="center" vertical="center"/>
    </xf>
    <xf numFmtId="0" fontId="30" fillId="19" borderId="3" xfId="17" applyFont="1" applyBorder="1" applyAlignment="1">
      <alignment horizontal="center" vertical="center"/>
    </xf>
    <xf numFmtId="0" fontId="30" fillId="19" borderId="2" xfId="17" applyNumberFormat="1" applyFont="1" applyBorder="1" applyAlignment="1">
      <alignment horizontal="center"/>
    </xf>
    <xf numFmtId="0" fontId="30" fillId="19" borderId="11" xfId="17" applyFont="1" applyBorder="1" applyAlignment="1">
      <alignment horizontal="center"/>
    </xf>
    <xf numFmtId="0" fontId="7" fillId="0" borderId="3" xfId="0" applyFont="1" applyBorder="1"/>
    <xf numFmtId="0" fontId="18" fillId="0" borderId="2" xfId="0" applyFont="1" applyBorder="1"/>
    <xf numFmtId="0" fontId="22" fillId="0" borderId="17" xfId="0" applyFont="1" applyBorder="1"/>
    <xf numFmtId="0" fontId="22" fillId="0" borderId="18" xfId="0" applyFont="1" applyBorder="1"/>
    <xf numFmtId="0" fontId="4" fillId="20" borderId="2" xfId="18" applyBorder="1" applyAlignment="1">
      <alignment horizontal="center"/>
    </xf>
    <xf numFmtId="0" fontId="34" fillId="0" borderId="19" xfId="0" applyFont="1" applyBorder="1" applyAlignment="1">
      <alignment wrapText="1"/>
    </xf>
    <xf numFmtId="0" fontId="34" fillId="0" borderId="19" xfId="0" applyFont="1" applyBorder="1" applyAlignment="1">
      <alignment horizontal="right" wrapText="1"/>
    </xf>
    <xf numFmtId="0" fontId="34" fillId="21" borderId="19" xfId="0" applyFont="1" applyFill="1" applyBorder="1" applyAlignment="1">
      <alignment wrapText="1"/>
    </xf>
    <xf numFmtId="0" fontId="34" fillId="21" borderId="19" xfId="0" applyFont="1" applyFill="1" applyBorder="1" applyAlignment="1">
      <alignment horizontal="right" wrapText="1"/>
    </xf>
    <xf numFmtId="0" fontId="35" fillId="0" borderId="19" xfId="0" applyFont="1" applyBorder="1" applyAlignment="1">
      <alignment wrapText="1"/>
    </xf>
    <xf numFmtId="0" fontId="35" fillId="0" borderId="19" xfId="0" applyFont="1" applyBorder="1" applyAlignment="1">
      <alignment horizontal="right" wrapText="1"/>
    </xf>
    <xf numFmtId="0" fontId="36" fillId="21" borderId="19" xfId="0" applyFont="1" applyFill="1" applyBorder="1" applyAlignment="1">
      <alignment wrapText="1"/>
    </xf>
    <xf numFmtId="0" fontId="36" fillId="22" borderId="19" xfId="0" applyFont="1" applyFill="1" applyBorder="1" applyAlignment="1">
      <alignment horizontal="right" wrapText="1"/>
    </xf>
    <xf numFmtId="0" fontId="34" fillId="23" borderId="19" xfId="0" applyFont="1" applyFill="1" applyBorder="1" applyAlignment="1">
      <alignment wrapText="1"/>
    </xf>
    <xf numFmtId="0" fontId="0" fillId="23" borderId="19" xfId="0" applyFill="1" applyBorder="1" applyAlignment="1">
      <alignment wrapText="1"/>
    </xf>
    <xf numFmtId="0" fontId="36" fillId="23" borderId="19" xfId="0" applyFont="1" applyFill="1" applyBorder="1" applyAlignment="1">
      <alignment wrapText="1"/>
    </xf>
    <xf numFmtId="3" fontId="36" fillId="23" borderId="19" xfId="0" applyNumberFormat="1" applyFont="1" applyFill="1" applyBorder="1" applyAlignment="1">
      <alignment horizontal="right" wrapText="1"/>
    </xf>
    <xf numFmtId="3" fontId="37" fillId="24" borderId="19" xfId="0" applyNumberFormat="1" applyFont="1" applyFill="1" applyBorder="1" applyAlignment="1">
      <alignment horizontal="right" wrapText="1"/>
    </xf>
    <xf numFmtId="3" fontId="38" fillId="25" borderId="19" xfId="0" applyNumberFormat="1" applyFont="1" applyFill="1" applyBorder="1" applyAlignment="1">
      <alignment horizontal="right" wrapText="1"/>
    </xf>
    <xf numFmtId="0" fontId="39" fillId="23" borderId="19" xfId="0" applyFont="1" applyFill="1" applyBorder="1" applyAlignment="1">
      <alignment wrapText="1"/>
    </xf>
    <xf numFmtId="0" fontId="39" fillId="24" borderId="19" xfId="0" applyFont="1" applyFill="1" applyBorder="1" applyAlignment="1">
      <alignment horizontal="right" wrapText="1"/>
    </xf>
    <xf numFmtId="0" fontId="39" fillId="21" borderId="19" xfId="0" applyFont="1" applyFill="1" applyBorder="1" applyAlignment="1">
      <alignment wrapText="1"/>
    </xf>
    <xf numFmtId="3" fontId="39" fillId="24" borderId="19" xfId="0" applyNumberFormat="1" applyFont="1" applyFill="1" applyBorder="1" applyAlignment="1">
      <alignment horizontal="right" wrapText="1"/>
    </xf>
    <xf numFmtId="0" fontId="40" fillId="23" borderId="19" xfId="0" applyFont="1" applyFill="1" applyBorder="1" applyAlignment="1">
      <alignment wrapText="1"/>
    </xf>
    <xf numFmtId="0" fontId="40" fillId="23" borderId="19" xfId="0" applyFont="1" applyFill="1" applyBorder="1" applyAlignment="1">
      <alignment horizontal="right" wrapText="1"/>
    </xf>
    <xf numFmtId="0" fontId="40" fillId="26" borderId="19" xfId="0" applyFont="1" applyFill="1" applyBorder="1" applyAlignment="1">
      <alignment wrapText="1"/>
    </xf>
    <xf numFmtId="0" fontId="40" fillId="27" borderId="19" xfId="0" applyFont="1" applyFill="1" applyBorder="1" applyAlignment="1">
      <alignment horizontal="right" wrapText="1"/>
    </xf>
    <xf numFmtId="0" fontId="41" fillId="23" borderId="19" xfId="0" applyFont="1" applyFill="1" applyBorder="1" applyAlignment="1">
      <alignment wrapText="1"/>
    </xf>
    <xf numFmtId="0" fontId="41" fillId="23" borderId="19" xfId="0" applyFont="1" applyFill="1" applyBorder="1" applyAlignment="1">
      <alignment horizontal="right" wrapText="1"/>
    </xf>
    <xf numFmtId="0" fontId="0" fillId="28" borderId="19" xfId="0" applyFill="1" applyBorder="1" applyAlignment="1">
      <alignment wrapText="1"/>
    </xf>
    <xf numFmtId="0" fontId="42" fillId="28" borderId="19" xfId="0" applyFont="1" applyFill="1" applyBorder="1" applyAlignment="1">
      <alignment wrapText="1"/>
    </xf>
    <xf numFmtId="0" fontId="42" fillId="23" borderId="19" xfId="0" applyFont="1" applyFill="1" applyBorder="1" applyAlignment="1">
      <alignment wrapText="1"/>
    </xf>
    <xf numFmtId="0" fontId="42" fillId="23" borderId="19" xfId="0" applyFont="1" applyFill="1" applyBorder="1" applyAlignment="1">
      <alignment horizontal="right" wrapText="1"/>
    </xf>
    <xf numFmtId="0" fontId="43" fillId="23" borderId="19" xfId="0" applyFont="1" applyFill="1" applyBorder="1" applyAlignment="1">
      <alignment wrapText="1"/>
    </xf>
    <xf numFmtId="0" fontId="43" fillId="23" borderId="19" xfId="0" applyFont="1" applyFill="1" applyBorder="1" applyAlignment="1">
      <alignment horizontal="right" wrapText="1"/>
    </xf>
    <xf numFmtId="0" fontId="42" fillId="28" borderId="19" xfId="0" applyFont="1" applyFill="1" applyBorder="1" applyAlignment="1">
      <alignment horizontal="right" wrapText="1"/>
    </xf>
    <xf numFmtId="0" fontId="43" fillId="28" borderId="19" xfId="0" applyFont="1" applyFill="1" applyBorder="1" applyAlignment="1">
      <alignment wrapText="1"/>
    </xf>
    <xf numFmtId="0" fontId="43" fillId="28" borderId="19" xfId="0" applyFont="1" applyFill="1" applyBorder="1" applyAlignment="1">
      <alignment horizontal="right" wrapText="1"/>
    </xf>
    <xf numFmtId="0" fontId="44" fillId="28" borderId="19" xfId="0" applyFont="1" applyFill="1" applyBorder="1" applyAlignment="1">
      <alignment wrapText="1"/>
    </xf>
    <xf numFmtId="4" fontId="0" fillId="0" borderId="0" xfId="0" applyNumberFormat="1"/>
    <xf numFmtId="4" fontId="44" fillId="28" borderId="19" xfId="0" applyNumberFormat="1" applyFont="1" applyFill="1" applyBorder="1" applyAlignment="1">
      <alignment horizontal="right" wrapText="1"/>
    </xf>
    <xf numFmtId="0" fontId="44" fillId="23" borderId="19" xfId="0" applyFont="1" applyFill="1" applyBorder="1" applyAlignment="1">
      <alignment wrapText="1"/>
    </xf>
    <xf numFmtId="0" fontId="44" fillId="23" borderId="19" xfId="0" applyFont="1" applyFill="1" applyBorder="1" applyAlignment="1">
      <alignment horizontal="right" wrapText="1"/>
    </xf>
    <xf numFmtId="0" fontId="44" fillId="28" borderId="19" xfId="0" applyFont="1" applyFill="1" applyBorder="1" applyAlignment="1">
      <alignment horizontal="right" wrapText="1"/>
    </xf>
    <xf numFmtId="4" fontId="44" fillId="23" borderId="19" xfId="0" applyNumberFormat="1" applyFont="1" applyFill="1" applyBorder="1" applyAlignment="1">
      <alignment horizontal="right" wrapText="1"/>
    </xf>
    <xf numFmtId="0" fontId="0" fillId="0" borderId="19" xfId="0" applyBorder="1"/>
    <xf numFmtId="0" fontId="35" fillId="0" borderId="0" xfId="0" applyFont="1" applyBorder="1" applyAlignment="1">
      <alignment wrapText="1"/>
    </xf>
    <xf numFmtId="0" fontId="36" fillId="21" borderId="0" xfId="0" applyFont="1" applyFill="1" applyBorder="1" applyAlignment="1">
      <alignment wrapText="1"/>
    </xf>
    <xf numFmtId="0" fontId="34" fillId="0" borderId="0" xfId="0" applyFont="1" applyBorder="1" applyAlignment="1">
      <alignment wrapText="1"/>
    </xf>
    <xf numFmtId="0" fontId="18" fillId="0" borderId="4" xfId="0" applyFont="1" applyBorder="1"/>
    <xf numFmtId="0" fontId="18" fillId="0" borderId="6" xfId="0" applyFont="1" applyBorder="1"/>
    <xf numFmtId="0" fontId="18" fillId="0" borderId="20" xfId="0" applyFont="1" applyBorder="1"/>
    <xf numFmtId="0" fontId="22" fillId="0" borderId="4" xfId="0" applyFont="1" applyBorder="1"/>
    <xf numFmtId="0" fontId="18" fillId="0" borderId="21" xfId="0" applyFont="1" applyBorder="1"/>
    <xf numFmtId="0" fontId="18" fillId="0" borderId="8" xfId="0" applyFont="1" applyBorder="1"/>
    <xf numFmtId="0" fontId="18" fillId="0" borderId="22" xfId="0" applyFont="1" applyBorder="1"/>
    <xf numFmtId="0" fontId="18" fillId="0" borderId="23" xfId="0" applyFont="1" applyBorder="1"/>
    <xf numFmtId="0" fontId="20" fillId="0" borderId="0" xfId="0" applyFont="1" applyBorder="1"/>
    <xf numFmtId="0" fontId="20" fillId="0" borderId="24" xfId="0" applyFont="1" applyBorder="1"/>
    <xf numFmtId="0" fontId="18" fillId="0" borderId="25" xfId="0" applyFont="1" applyBorder="1"/>
    <xf numFmtId="0" fontId="20" fillId="0" borderId="26" xfId="0" applyFont="1" applyBorder="1"/>
    <xf numFmtId="0" fontId="20" fillId="0" borderId="27" xfId="0" applyFont="1" applyBorder="1"/>
    <xf numFmtId="0" fontId="18" fillId="0" borderId="3" xfId="0" applyFont="1" applyBorder="1"/>
    <xf numFmtId="0" fontId="18" fillId="0" borderId="11" xfId="0" applyFont="1" applyBorder="1"/>
    <xf numFmtId="0" fontId="18" fillId="0" borderId="0" xfId="0" applyFont="1" applyBorder="1"/>
    <xf numFmtId="0" fontId="20" fillId="0" borderId="14" xfId="0" applyFont="1" applyBorder="1"/>
    <xf numFmtId="0" fontId="18" fillId="0" borderId="10" xfId="0" applyFont="1" applyBorder="1"/>
    <xf numFmtId="0" fontId="20" fillId="0" borderId="28" xfId="0" applyFont="1" applyBorder="1"/>
    <xf numFmtId="0" fontId="18" fillId="0" borderId="15" xfId="0" applyFont="1" applyBorder="1"/>
    <xf numFmtId="0" fontId="20" fillId="0" borderId="8" xfId="0" applyFont="1" applyBorder="1"/>
    <xf numFmtId="0" fontId="20" fillId="0" borderId="16" xfId="0" applyFont="1" applyBorder="1"/>
    <xf numFmtId="0" fontId="0" fillId="0" borderId="6" xfId="0" applyBorder="1"/>
    <xf numFmtId="0" fontId="0" fillId="0" borderId="28" xfId="0" applyFill="1" applyBorder="1"/>
    <xf numFmtId="0" fontId="0" fillId="0" borderId="10" xfId="0" applyBorder="1"/>
    <xf numFmtId="0" fontId="0" fillId="20" borderId="3" xfId="18" applyFont="1" applyBorder="1" applyAlignment="1">
      <alignment horizontal="center"/>
    </xf>
    <xf numFmtId="0" fontId="6" fillId="7" borderId="0" xfId="6" applyBorder="1"/>
    <xf numFmtId="0" fontId="45" fillId="19" borderId="12" xfId="17" applyFont="1" applyBorder="1" applyAlignment="1">
      <alignment horizontal="center"/>
    </xf>
    <xf numFmtId="0" fontId="45" fillId="19" borderId="12" xfId="17" applyNumberFormat="1" applyFont="1" applyBorder="1" applyAlignment="1">
      <alignment horizontal="center"/>
    </xf>
    <xf numFmtId="0" fontId="0" fillId="0" borderId="0" xfId="0" applyAlignment="1">
      <alignment horizontal="center"/>
    </xf>
    <xf numFmtId="0" fontId="0" fillId="0" borderId="0" xfId="0"/>
    <xf numFmtId="0" fontId="0" fillId="0" borderId="0" xfId="0" applyAlignment="1">
      <alignment horizontal="center" vertical="center"/>
    </xf>
    <xf numFmtId="0" fontId="0" fillId="0" borderId="0" xfId="0" applyFill="1" applyBorder="1" applyAlignment="1">
      <alignment horizontal="center"/>
    </xf>
    <xf numFmtId="0" fontId="7" fillId="0" borderId="0" xfId="0" applyFont="1"/>
    <xf numFmtId="0" fontId="45" fillId="29" borderId="7" xfId="19" applyFont="1" applyAlignment="1">
      <alignment horizontal="center"/>
    </xf>
    <xf numFmtId="0" fontId="45" fillId="29" borderId="7" xfId="19" applyNumberFormat="1" applyFont="1" applyAlignment="1">
      <alignment horizontal="center"/>
    </xf>
    <xf numFmtId="0" fontId="4" fillId="10" borderId="3" xfId="9" applyBorder="1" applyAlignment="1">
      <alignment horizontal="center"/>
    </xf>
    <xf numFmtId="0" fontId="4" fillId="10" borderId="2" xfId="9" applyBorder="1" applyAlignment="1">
      <alignment horizontal="center"/>
    </xf>
    <xf numFmtId="0" fontId="4" fillId="10" borderId="12" xfId="9" applyBorder="1" applyAlignment="1">
      <alignment horizontal="center"/>
    </xf>
    <xf numFmtId="0" fontId="4" fillId="10" borderId="12" xfId="9" applyNumberFormat="1" applyBorder="1" applyAlignment="1">
      <alignment horizontal="center"/>
    </xf>
    <xf numFmtId="0" fontId="4" fillId="10" borderId="3" xfId="9" applyBorder="1" applyAlignment="1">
      <alignment horizontal="center" vertical="center"/>
    </xf>
    <xf numFmtId="0" fontId="4" fillId="10" borderId="2" xfId="9" applyNumberFormat="1" applyBorder="1" applyAlignment="1">
      <alignment horizontal="center"/>
    </xf>
    <xf numFmtId="0" fontId="4" fillId="10" borderId="11" xfId="9" applyBorder="1" applyAlignment="1">
      <alignment horizontal="center"/>
    </xf>
    <xf numFmtId="0" fontId="0" fillId="10" borderId="11" xfId="9" applyFont="1" applyBorder="1" applyAlignment="1">
      <alignment horizontal="center"/>
    </xf>
    <xf numFmtId="0" fontId="0" fillId="10" borderId="3" xfId="9" applyFont="1" applyBorder="1" applyAlignment="1">
      <alignment horizontal="center"/>
    </xf>
    <xf numFmtId="0" fontId="0" fillId="10" borderId="2" xfId="9" applyFont="1" applyBorder="1" applyAlignment="1">
      <alignment horizontal="center"/>
    </xf>
    <xf numFmtId="0" fontId="46" fillId="30" borderId="9" xfId="20" applyAlignment="1">
      <alignment horizontal="center"/>
    </xf>
    <xf numFmtId="0" fontId="32" fillId="0" borderId="2" xfId="0" applyFont="1" applyFill="1" applyBorder="1"/>
    <xf numFmtId="0" fontId="0" fillId="31" borderId="2" xfId="6" applyFont="1" applyFill="1" applyBorder="1"/>
    <xf numFmtId="0" fontId="0" fillId="10" borderId="10" xfId="9" applyFont="1" applyBorder="1" applyAlignment="1">
      <alignment horizontal="center" vertic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7" fillId="0" borderId="0" xfId="0" applyFont="1"/>
    <xf numFmtId="0" fontId="4" fillId="9" borderId="3" xfId="8" applyBorder="1" applyAlignment="1">
      <alignment horizontal="center"/>
    </xf>
    <xf numFmtId="0" fontId="4" fillId="9" borderId="2" xfId="8" applyBorder="1" applyAlignment="1">
      <alignment horizontal="center"/>
    </xf>
    <xf numFmtId="0" fontId="4" fillId="9" borderId="12" xfId="8" applyBorder="1" applyAlignment="1">
      <alignment horizontal="center"/>
    </xf>
    <xf numFmtId="0" fontId="4" fillId="9" borderId="12" xfId="8" applyNumberFormat="1" applyBorder="1" applyAlignment="1">
      <alignment horizontal="center"/>
    </xf>
    <xf numFmtId="0" fontId="4" fillId="9" borderId="10" xfId="8" applyBorder="1" applyAlignment="1">
      <alignment horizontal="center" vertical="center"/>
    </xf>
    <xf numFmtId="0" fontId="4" fillId="9" borderId="3" xfId="8" applyBorder="1" applyAlignment="1">
      <alignment horizontal="center" vertical="center"/>
    </xf>
    <xf numFmtId="0" fontId="4" fillId="9" borderId="2" xfId="8" applyNumberFormat="1" applyBorder="1" applyAlignment="1">
      <alignment horizontal="center"/>
    </xf>
    <xf numFmtId="0" fontId="0" fillId="9" borderId="2" xfId="8" applyFont="1" applyBorder="1" applyAlignment="1">
      <alignment horizontal="center"/>
    </xf>
    <xf numFmtId="0" fontId="0" fillId="9" borderId="12" xfId="8" applyFont="1" applyBorder="1" applyAlignment="1">
      <alignment horizontal="center"/>
    </xf>
    <xf numFmtId="0" fontId="0" fillId="9" borderId="3" xfId="8" applyFont="1" applyBorder="1" applyAlignment="1">
      <alignment horizontal="center"/>
    </xf>
    <xf numFmtId="0" fontId="0" fillId="9" borderId="11" xfId="8" applyFont="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7" fillId="0" borderId="0" xfId="0" applyFont="1"/>
    <xf numFmtId="0" fontId="6" fillId="32" borderId="2" xfId="21" applyBorder="1" applyAlignment="1">
      <alignment horizontal="center" vertical="center"/>
    </xf>
    <xf numFmtId="0" fontId="1" fillId="2" borderId="2" xfId="1" applyBorder="1" applyAlignment="1">
      <alignment horizontal="center" vertical="center"/>
    </xf>
    <xf numFmtId="0" fontId="0" fillId="9" borderId="10" xfId="8" applyFont="1" applyBorder="1" applyAlignment="1">
      <alignment horizontal="center" vertical="center"/>
    </xf>
    <xf numFmtId="0" fontId="1" fillId="2" borderId="29" xfId="1" applyBorder="1" applyAlignment="1">
      <alignment horizontal="center" vertical="center"/>
    </xf>
    <xf numFmtId="0" fontId="0" fillId="9" borderId="3" xfId="8" applyFont="1" applyBorder="1" applyAlignment="1">
      <alignment horizontal="center" vertical="center"/>
    </xf>
    <xf numFmtId="0" fontId="0" fillId="0" borderId="0" xfId="0" applyFill="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7" fillId="0" borderId="0" xfId="0" applyFont="1"/>
    <xf numFmtId="0" fontId="6" fillId="11" borderId="0" xfId="10"/>
    <xf numFmtId="0" fontId="6" fillId="11" borderId="0" xfId="10" applyBorder="1"/>
    <xf numFmtId="0" fontId="2" fillId="4" borderId="3" xfId="2" applyBorder="1"/>
    <xf numFmtId="0" fontId="2" fillId="4" borderId="17" xfId="2" applyBorder="1"/>
    <xf numFmtId="0" fontId="2" fillId="4" borderId="4" xfId="2" applyBorder="1"/>
    <xf numFmtId="0" fontId="2" fillId="4" borderId="10" xfId="2" applyBorder="1"/>
    <xf numFmtId="0" fontId="2" fillId="4" borderId="0" xfId="2" applyBorder="1"/>
    <xf numFmtId="0" fontId="2" fillId="4" borderId="28" xfId="2" applyBorder="1"/>
    <xf numFmtId="0" fontId="2" fillId="4" borderId="0" xfId="2"/>
    <xf numFmtId="0" fontId="45" fillId="19" borderId="2" xfId="17" applyFont="1" applyBorder="1" applyAlignment="1">
      <alignment horizontal="center"/>
    </xf>
    <xf numFmtId="0" fontId="45" fillId="19" borderId="2" xfId="17" applyNumberFormat="1" applyFont="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7" fillId="0" borderId="0" xfId="0" applyFont="1"/>
    <xf numFmtId="0" fontId="0" fillId="0" borderId="0" xfId="0"/>
    <xf numFmtId="0" fontId="7" fillId="0" borderId="0" xfId="0" applyFont="1"/>
    <xf numFmtId="0" fontId="0" fillId="0" borderId="0" xfId="0"/>
    <xf numFmtId="0" fontId="7" fillId="0" borderId="0" xfId="0" applyFont="1"/>
    <xf numFmtId="0" fontId="0" fillId="0" borderId="0" xfId="0" applyAlignment="1">
      <alignment horizontal="center"/>
    </xf>
    <xf numFmtId="0" fontId="0" fillId="0" borderId="0" xfId="0"/>
    <xf numFmtId="0" fontId="0" fillId="0" borderId="0" xfId="0" applyAlignment="1">
      <alignment horizontal="center" vertical="center"/>
    </xf>
    <xf numFmtId="0" fontId="0" fillId="0" borderId="0" xfId="0" applyFill="1" applyBorder="1" applyAlignment="1">
      <alignment horizontal="center"/>
    </xf>
    <xf numFmtId="0" fontId="7" fillId="0" borderId="0" xfId="0" applyFont="1"/>
    <xf numFmtId="0" fontId="0" fillId="9" borderId="12" xfId="8" applyFont="1" applyBorder="1" applyAlignment="1">
      <alignment horizontal="center" wrapText="1"/>
    </xf>
    <xf numFmtId="0" fontId="7" fillId="0" borderId="0" xfId="0" applyFont="1"/>
    <xf numFmtId="0" fontId="47" fillId="10" borderId="30" xfId="22" applyFill="1" applyAlignment="1">
      <alignment vertical="top" wrapText="1"/>
    </xf>
    <xf numFmtId="0" fontId="7" fillId="0" borderId="0" xfId="0" applyFont="1"/>
    <xf numFmtId="0" fontId="6" fillId="13" borderId="2" xfId="13" applyBorder="1" applyAlignment="1">
      <alignment horizontal="center" wrapText="1"/>
    </xf>
    <xf numFmtId="0" fontId="4" fillId="19" borderId="0" xfId="17"/>
    <xf numFmtId="0" fontId="4" fillId="20" borderId="3" xfId="18" applyBorder="1" applyAlignment="1">
      <alignment horizontal="center"/>
    </xf>
    <xf numFmtId="0" fontId="4" fillId="20" borderId="12" xfId="18" applyBorder="1" applyAlignment="1">
      <alignment horizontal="center"/>
    </xf>
    <xf numFmtId="0" fontId="0" fillId="20" borderId="2" xfId="18" applyFont="1" applyBorder="1" applyAlignment="1">
      <alignment horizontal="center"/>
    </xf>
    <xf numFmtId="0" fontId="20" fillId="0" borderId="28" xfId="0" applyFont="1" applyFill="1" applyBorder="1"/>
    <xf numFmtId="0" fontId="0" fillId="20" borderId="11" xfId="18" applyFont="1" applyBorder="1" applyAlignment="1">
      <alignment horizontal="center"/>
    </xf>
    <xf numFmtId="0" fontId="7" fillId="0" borderId="0" xfId="0" applyFont="1"/>
    <xf numFmtId="0" fontId="0" fillId="20" borderId="10" xfId="18" applyFont="1" applyBorder="1" applyAlignment="1">
      <alignment horizontal="center" vertical="center"/>
    </xf>
    <xf numFmtId="0" fontId="0" fillId="0" borderId="0" xfId="0"/>
    <xf numFmtId="0" fontId="7" fillId="0" borderId="0" xfId="0" applyFont="1"/>
    <xf numFmtId="0" fontId="0" fillId="20" borderId="12" xfId="18" applyFont="1" applyBorder="1" applyAlignment="1">
      <alignment horizontal="center"/>
    </xf>
    <xf numFmtId="0" fontId="0" fillId="20" borderId="12" xfId="18" applyFont="1" applyBorder="1" applyAlignment="1">
      <alignment horizontal="center" wrapText="1"/>
    </xf>
    <xf numFmtId="0" fontId="7" fillId="0" borderId="10" xfId="0" applyFont="1" applyFill="1" applyBorder="1"/>
    <xf numFmtId="0" fontId="32" fillId="0" borderId="0" xfId="0" applyFont="1" applyFill="1" applyBorder="1" applyAlignment="1">
      <alignment wrapText="1"/>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7" fillId="0" borderId="0" xfId="0" applyFont="1"/>
    <xf numFmtId="0" fontId="4" fillId="33" borderId="2" xfId="23" applyBorder="1" applyAlignment="1">
      <alignment horizontal="center"/>
    </xf>
    <xf numFmtId="0" fontId="0" fillId="33" borderId="12" xfId="23" applyFont="1" applyBorder="1" applyAlignment="1">
      <alignment horizontal="center" wrapText="1"/>
    </xf>
    <xf numFmtId="0" fontId="4" fillId="33" borderId="12" xfId="23" applyBorder="1" applyAlignment="1">
      <alignment horizontal="center"/>
    </xf>
    <xf numFmtId="0" fontId="0" fillId="33" borderId="2" xfId="23" applyFont="1" applyBorder="1" applyAlignment="1">
      <alignment horizontal="center"/>
    </xf>
    <xf numFmtId="0" fontId="45" fillId="33" borderId="2" xfId="23" applyFont="1" applyBorder="1" applyAlignment="1">
      <alignment horizontal="center"/>
    </xf>
    <xf numFmtId="0" fontId="0" fillId="33" borderId="3" xfId="23" applyFont="1" applyBorder="1" applyAlignment="1">
      <alignment horizontal="center"/>
    </xf>
    <xf numFmtId="0" fontId="0" fillId="33" borderId="10" xfId="23" applyFont="1" applyBorder="1" applyAlignment="1">
      <alignment horizontal="center" vertical="center"/>
    </xf>
    <xf numFmtId="0" fontId="0" fillId="33" borderId="11" xfId="23" applyFont="1" applyBorder="1" applyAlignment="1">
      <alignment horizontal="center"/>
    </xf>
    <xf numFmtId="0" fontId="0" fillId="33" borderId="12" xfId="23" applyFont="1" applyBorder="1" applyAlignment="1">
      <alignment horizontal="center"/>
    </xf>
    <xf numFmtId="0" fontId="48" fillId="33" borderId="0" xfId="23" applyFont="1" applyBorder="1" applyAlignment="1">
      <alignment horizontal="center" vertical="center" wrapText="1"/>
    </xf>
    <xf numFmtId="0" fontId="1" fillId="2" borderId="9" xfId="1" applyBorder="1" applyAlignment="1">
      <alignment horizontal="center"/>
    </xf>
    <xf numFmtId="0" fontId="7" fillId="33" borderId="0" xfId="23" applyFont="1" applyBorder="1" applyAlignment="1">
      <alignment horizontal="center" vertical="center" wrapText="1"/>
    </xf>
    <xf numFmtId="0" fontId="20" fillId="0" borderId="0" xfId="0" applyFont="1" applyFill="1" applyBorder="1"/>
    <xf numFmtId="0" fontId="0" fillId="0" borderId="0" xfId="0"/>
    <xf numFmtId="0" fontId="7" fillId="0" borderId="0" xfId="0" applyFont="1"/>
    <xf numFmtId="0" fontId="7" fillId="35" borderId="0" xfId="25">
      <alignment horizontal="center" vertical="center" wrapText="1"/>
    </xf>
    <xf numFmtId="0" fontId="7" fillId="0" borderId="0" xfId="0" applyFont="1" applyAlignment="1">
      <alignment horizontal="center" vertical="top"/>
    </xf>
    <xf numFmtId="0" fontId="0" fillId="0" borderId="0" xfId="0"/>
    <xf numFmtId="0" fontId="7" fillId="0" borderId="0" xfId="0" applyFont="1"/>
    <xf numFmtId="0" fontId="2" fillId="4" borderId="2" xfId="2" applyBorder="1" applyAlignment="1">
      <alignment wrapText="1"/>
    </xf>
    <xf numFmtId="0" fontId="0" fillId="0" borderId="0" xfId="0"/>
    <xf numFmtId="0" fontId="0" fillId="0" borderId="0" xfId="0" applyAlignment="1">
      <alignment horizontal="center"/>
    </xf>
    <xf numFmtId="0" fontId="7" fillId="0" borderId="0" xfId="0" applyFont="1"/>
    <xf numFmtId="0" fontId="0" fillId="0" borderId="0" xfId="0"/>
    <xf numFmtId="0" fontId="7" fillId="0" borderId="0" xfId="0" applyFont="1"/>
    <xf numFmtId="0" fontId="7" fillId="31" borderId="0" xfId="0" applyFont="1" applyFill="1"/>
    <xf numFmtId="0" fontId="7" fillId="31" borderId="0" xfId="0" applyFont="1" applyFill="1" applyAlignment="1">
      <alignment wrapText="1"/>
    </xf>
    <xf numFmtId="0" fontId="7" fillId="0" borderId="0" xfId="0" applyFont="1" applyAlignment="1">
      <alignment horizontal="center" vertical="center"/>
    </xf>
    <xf numFmtId="0" fontId="22" fillId="0" borderId="0" xfId="0" applyFont="1" applyAlignment="1">
      <alignment horizontal="center" vertical="center"/>
    </xf>
    <xf numFmtId="0" fontId="18" fillId="0" borderId="0" xfId="0" applyFont="1" applyAlignment="1">
      <alignment horizontal="center" vertical="center"/>
    </xf>
    <xf numFmtId="0" fontId="20" fillId="0" borderId="0" xfId="0" applyFont="1" applyAlignment="1">
      <alignment horizontal="center" vertical="center"/>
    </xf>
    <xf numFmtId="0" fontId="0" fillId="33" borderId="0" xfId="23" applyFont="1" applyBorder="1" applyAlignment="1"/>
    <xf numFmtId="0" fontId="13" fillId="13" borderId="0" xfId="13" applyFont="1"/>
    <xf numFmtId="0" fontId="7" fillId="36" borderId="0" xfId="26">
      <alignment horizontal="center" vertical="center" wrapText="1"/>
    </xf>
    <xf numFmtId="49" fontId="0" fillId="0" borderId="5" xfId="0" applyNumberFormat="1" applyBorder="1"/>
    <xf numFmtId="16" fontId="24" fillId="11" borderId="5" xfId="10" applyNumberFormat="1" applyFont="1" applyBorder="1"/>
    <xf numFmtId="0" fontId="24" fillId="11" borderId="5" xfId="10" applyFont="1" applyBorder="1"/>
    <xf numFmtId="0" fontId="6" fillId="15" borderId="5" xfId="14" applyBorder="1"/>
    <xf numFmtId="0" fontId="6" fillId="15" borderId="0" xfId="14" applyBorder="1"/>
    <xf numFmtId="0" fontId="6" fillId="32" borderId="5" xfId="21" applyBorder="1" applyAlignment="1">
      <alignment horizontal="center" vertical="center"/>
    </xf>
    <xf numFmtId="0" fontId="6" fillId="13" borderId="12" xfId="13" applyBorder="1"/>
    <xf numFmtId="0" fontId="7" fillId="36" borderId="32" xfId="26" applyBorder="1">
      <alignment horizontal="center" vertical="center" wrapText="1"/>
    </xf>
    <xf numFmtId="0" fontId="7" fillId="36" borderId="33" xfId="26" applyBorder="1">
      <alignment horizontal="center" vertical="center" wrapText="1"/>
    </xf>
    <xf numFmtId="0" fontId="7" fillId="36" borderId="34" xfId="26" applyBorder="1">
      <alignment horizontal="center" vertical="center" wrapText="1"/>
    </xf>
    <xf numFmtId="0" fontId="7" fillId="36" borderId="35" xfId="26" applyBorder="1">
      <alignment horizontal="center" vertical="center" wrapText="1"/>
    </xf>
    <xf numFmtId="0" fontId="7" fillId="0" borderId="36" xfId="0" applyFont="1" applyBorder="1" applyAlignment="1">
      <alignment horizontal="center" vertical="center"/>
    </xf>
    <xf numFmtId="0" fontId="7" fillId="0" borderId="37" xfId="0" applyFont="1" applyBorder="1" applyAlignment="1">
      <alignment horizontal="center" vertical="center"/>
    </xf>
    <xf numFmtId="0" fontId="18" fillId="0" borderId="37" xfId="0" applyFont="1" applyBorder="1" applyAlignment="1">
      <alignment horizontal="center" vertical="center"/>
    </xf>
    <xf numFmtId="0" fontId="2" fillId="31" borderId="38" xfId="2" applyFill="1" applyBorder="1" applyAlignment="1">
      <alignment wrapText="1"/>
    </xf>
    <xf numFmtId="0" fontId="7" fillId="0" borderId="32" xfId="0" applyFont="1" applyBorder="1"/>
    <xf numFmtId="0" fontId="7" fillId="0" borderId="33" xfId="0" applyFont="1" applyBorder="1"/>
    <xf numFmtId="0" fontId="7" fillId="31" borderId="33" xfId="0" applyFont="1" applyFill="1" applyBorder="1"/>
    <xf numFmtId="0" fontId="0" fillId="31" borderId="33" xfId="0" applyFill="1" applyBorder="1"/>
    <xf numFmtId="0" fontId="2" fillId="31" borderId="33" xfId="2" applyFill="1" applyBorder="1" applyAlignment="1">
      <alignment wrapText="1"/>
    </xf>
    <xf numFmtId="0" fontId="2" fillId="31" borderId="34" xfId="2" applyFill="1" applyBorder="1" applyAlignment="1">
      <alignment wrapText="1"/>
    </xf>
    <xf numFmtId="0" fontId="7" fillId="36" borderId="39" xfId="26" applyBorder="1">
      <alignment horizontal="center" vertical="center" wrapText="1"/>
    </xf>
    <xf numFmtId="0" fontId="7" fillId="36" borderId="40" xfId="26" applyBorder="1">
      <alignment horizontal="center" vertical="center" wrapText="1"/>
    </xf>
    <xf numFmtId="0" fontId="7" fillId="36" borderId="31" xfId="26" applyBorder="1">
      <alignment horizontal="center" vertical="center" wrapText="1"/>
    </xf>
    <xf numFmtId="0" fontId="7" fillId="0" borderId="0" xfId="0" applyFont="1"/>
    <xf numFmtId="0" fontId="2" fillId="4" borderId="0" xfId="2" applyAlignment="1">
      <alignment horizontal="center" vertical="center" wrapText="1"/>
    </xf>
    <xf numFmtId="17" fontId="34" fillId="0" borderId="19" xfId="0" applyNumberFormat="1" applyFont="1" applyBorder="1" applyAlignment="1">
      <alignment wrapText="1"/>
    </xf>
    <xf numFmtId="17" fontId="0" fillId="0" borderId="19" xfId="0" applyNumberFormat="1" applyBorder="1"/>
    <xf numFmtId="0" fontId="7" fillId="31" borderId="2" xfId="0" applyFont="1" applyFill="1" applyBorder="1" applyAlignment="1">
      <alignment wrapText="1"/>
    </xf>
    <xf numFmtId="0" fontId="7" fillId="36" borderId="41" xfId="26" applyBorder="1">
      <alignment horizontal="center" vertical="center" wrapText="1"/>
    </xf>
    <xf numFmtId="0" fontId="0" fillId="0" borderId="0" xfId="0"/>
    <xf numFmtId="0" fontId="0" fillId="0" borderId="0" xfId="0" applyAlignment="1">
      <alignment horizontal="center"/>
    </xf>
    <xf numFmtId="0" fontId="7" fillId="0" borderId="0" xfId="0" applyFont="1"/>
    <xf numFmtId="0" fontId="7" fillId="37" borderId="0" xfId="27">
      <alignment horizontal="center" vertical="center" wrapText="1"/>
    </xf>
    <xf numFmtId="0" fontId="2" fillId="37" borderId="0" xfId="27" applyFont="1" applyAlignment="1">
      <alignment horizontal="center" vertical="center" wrapText="1"/>
    </xf>
    <xf numFmtId="0" fontId="7" fillId="37" borderId="0" xfId="27" applyAlignment="1">
      <alignment horizontal="center" vertical="center" wrapText="1"/>
    </xf>
    <xf numFmtId="0" fontId="0" fillId="37" borderId="0" xfId="27" applyFont="1" applyAlignment="1">
      <alignment horizontal="center"/>
    </xf>
    <xf numFmtId="0" fontId="7" fillId="37" borderId="0" xfId="27" applyFont="1" applyAlignment="1">
      <alignment wrapText="1"/>
    </xf>
    <xf numFmtId="0" fontId="0" fillId="0" borderId="0" xfId="0" applyAlignment="1">
      <alignment horizontal="center"/>
    </xf>
    <xf numFmtId="0" fontId="1" fillId="2" borderId="0" xfId="1" applyAlignment="1">
      <alignment horizontal="center" wrapText="1"/>
    </xf>
    <xf numFmtId="0" fontId="16" fillId="0" borderId="0" xfId="11" applyAlignment="1">
      <alignment horizontal="center"/>
    </xf>
    <xf numFmtId="0" fontId="0" fillId="33" borderId="0" xfId="23" applyFont="1" applyBorder="1" applyAlignment="1">
      <alignment horizontal="center"/>
    </xf>
    <xf numFmtId="0" fontId="5" fillId="3" borderId="1" xfId="4" applyAlignment="1">
      <alignment horizontal="center" wrapText="1"/>
    </xf>
    <xf numFmtId="0" fontId="17" fillId="9" borderId="0" xfId="8" applyFont="1" applyAlignment="1">
      <alignment horizontal="center"/>
    </xf>
    <xf numFmtId="0" fontId="0" fillId="0" borderId="0" xfId="0" applyAlignment="1">
      <alignment horizontal="left" vertical="top"/>
    </xf>
    <xf numFmtId="0" fontId="31" fillId="13" borderId="0" xfId="13" applyFont="1" applyAlignment="1">
      <alignment horizontal="center" wrapText="1"/>
    </xf>
    <xf numFmtId="0" fontId="17" fillId="9" borderId="0" xfId="8" applyFont="1" applyAlignment="1">
      <alignment horizontal="center" vertical="top" wrapText="1"/>
    </xf>
    <xf numFmtId="0" fontId="17" fillId="9" borderId="0" xfId="8" applyFont="1" applyAlignment="1">
      <alignment horizontal="center" vertical="top"/>
    </xf>
    <xf numFmtId="0" fontId="5" fillId="3" borderId="1" xfId="4" applyAlignment="1">
      <alignment horizontal="center" vertical="top"/>
    </xf>
    <xf numFmtId="0" fontId="24" fillId="11" borderId="3" xfId="10" applyFont="1" applyBorder="1" applyAlignment="1">
      <alignment horizontal="center"/>
    </xf>
    <xf numFmtId="0" fontId="24" fillId="11" borderId="4" xfId="10" applyFont="1" applyBorder="1" applyAlignment="1">
      <alignment horizontal="center"/>
    </xf>
    <xf numFmtId="0" fontId="24" fillId="11" borderId="5" xfId="10" applyFont="1" applyBorder="1" applyAlignment="1">
      <alignment horizontal="center"/>
    </xf>
    <xf numFmtId="0" fontId="0" fillId="18" borderId="3" xfId="16" applyFont="1" applyBorder="1" applyAlignment="1">
      <alignment horizontal="center"/>
    </xf>
    <xf numFmtId="0" fontId="4" fillId="18" borderId="4" xfId="16" applyFont="1" applyBorder="1" applyAlignment="1">
      <alignment horizontal="center"/>
    </xf>
    <xf numFmtId="0" fontId="4" fillId="18" borderId="5" xfId="16" applyFont="1" applyBorder="1" applyAlignment="1">
      <alignment horizontal="center"/>
    </xf>
    <xf numFmtId="0" fontId="3" fillId="5" borderId="2" xfId="3" applyBorder="1" applyAlignment="1">
      <alignment horizontal="center"/>
    </xf>
    <xf numFmtId="0" fontId="29" fillId="11" borderId="11" xfId="10" applyFont="1" applyBorder="1" applyAlignment="1">
      <alignment horizontal="center" vertical="top" wrapText="1"/>
    </xf>
    <xf numFmtId="0" fontId="29" fillId="11" borderId="6" xfId="10" applyFont="1" applyBorder="1" applyAlignment="1">
      <alignment horizontal="center" vertical="top" wrapText="1"/>
    </xf>
    <xf numFmtId="0" fontId="29" fillId="11" borderId="14" xfId="10" applyFont="1" applyBorder="1" applyAlignment="1">
      <alignment horizontal="center" vertical="top" wrapText="1"/>
    </xf>
    <xf numFmtId="0" fontId="29" fillId="11" borderId="15" xfId="10" applyFont="1" applyBorder="1" applyAlignment="1">
      <alignment horizontal="center" vertical="top" wrapText="1"/>
    </xf>
    <xf numFmtId="0" fontId="29" fillId="11" borderId="8" xfId="10" applyFont="1" applyBorder="1" applyAlignment="1">
      <alignment horizontal="center" vertical="top" wrapText="1"/>
    </xf>
    <xf numFmtId="0" fontId="29" fillId="11" borderId="16" xfId="10" applyFont="1" applyBorder="1" applyAlignment="1">
      <alignment horizontal="center" vertical="top" wrapText="1"/>
    </xf>
    <xf numFmtId="0" fontId="7" fillId="0" borderId="0" xfId="0" applyFont="1" applyAlignment="1">
      <alignment horizontal="center"/>
    </xf>
    <xf numFmtId="0" fontId="15" fillId="2" borderId="0" xfId="1" applyFont="1" applyAlignment="1">
      <alignment horizontal="center"/>
    </xf>
    <xf numFmtId="0" fontId="21" fillId="15" borderId="0" xfId="14" applyFont="1" applyAlignment="1">
      <alignment horizontal="center"/>
    </xf>
    <xf numFmtId="0" fontId="2" fillId="4" borderId="0" xfId="2" applyAlignment="1">
      <alignment horizontal="center"/>
    </xf>
    <xf numFmtId="0" fontId="3" fillId="5" borderId="0" xfId="3" applyAlignment="1">
      <alignment horizontal="center"/>
    </xf>
    <xf numFmtId="0" fontId="30" fillId="12" borderId="0" xfId="12" applyFont="1" applyAlignment="1">
      <alignment horizontal="center" wrapText="1"/>
    </xf>
    <xf numFmtId="0" fontId="6" fillId="8" borderId="9" xfId="7" applyBorder="1" applyAlignment="1">
      <alignment horizontal="center" vertical="center" wrapText="1"/>
    </xf>
    <xf numFmtId="0" fontId="49" fillId="34" borderId="0" xfId="24" applyNumberFormat="1" applyFont="1" applyAlignment="1">
      <alignment horizontal="center"/>
    </xf>
    <xf numFmtId="0" fontId="0" fillId="0" borderId="0" xfId="0" applyAlignment="1">
      <alignment wrapText="1"/>
    </xf>
    <xf numFmtId="0" fontId="0" fillId="0" borderId="0" xfId="0"/>
    <xf numFmtId="0" fontId="0" fillId="0" borderId="0" xfId="0" applyAlignment="1"/>
    <xf numFmtId="0" fontId="1" fillId="2" borderId="0" xfId="1" applyAlignment="1">
      <alignment horizontal="center"/>
    </xf>
    <xf numFmtId="0" fontId="0" fillId="10" borderId="0" xfId="9" applyFont="1" applyAlignment="1">
      <alignment horizontal="center" wrapText="1"/>
    </xf>
    <xf numFmtId="0" fontId="4" fillId="10" borderId="0" xfId="9" applyAlignment="1">
      <alignment horizontal="center" wrapText="1"/>
    </xf>
    <xf numFmtId="0" fontId="51" fillId="36" borderId="0" xfId="26" applyFont="1">
      <alignment horizontal="center"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0" xfId="0" applyAlignment="1">
      <alignment vertical="top" wrapText="1"/>
    </xf>
    <xf numFmtId="0" fontId="7" fillId="0" borderId="0" xfId="0" applyFont="1"/>
    <xf numFmtId="0" fontId="6" fillId="15" borderId="11" xfId="14" applyBorder="1" applyAlignment="1">
      <alignment horizontal="center"/>
    </xf>
    <xf numFmtId="0" fontId="6" fillId="15" borderId="6" xfId="14" applyBorder="1" applyAlignment="1">
      <alignment horizontal="center"/>
    </xf>
    <xf numFmtId="0" fontId="27" fillId="17" borderId="0" xfId="13" applyFont="1" applyFill="1" applyAlignment="1">
      <alignment horizontal="center" vertical="top" wrapText="1"/>
    </xf>
    <xf numFmtId="0" fontId="6" fillId="18" borderId="0" xfId="16" applyAlignment="1">
      <alignment horizontal="center" vertical="top" wrapText="1"/>
    </xf>
    <xf numFmtId="0" fontId="4" fillId="18" borderId="0" xfId="16" applyFont="1" applyAlignment="1">
      <alignment horizontal="center" vertical="top" wrapText="1"/>
    </xf>
    <xf numFmtId="0" fontId="0" fillId="0" borderId="10" xfId="0" applyBorder="1" applyAlignment="1">
      <alignment horizontal="center"/>
    </xf>
    <xf numFmtId="0" fontId="0" fillId="18" borderId="0" xfId="16" applyFont="1" applyAlignment="1">
      <alignment horizontal="center" vertical="top" wrapText="1"/>
    </xf>
  </cellXfs>
  <cellStyles count="28">
    <cellStyle name="20% - Accent4" xfId="18" builtinId="42"/>
    <cellStyle name="40% - Accent1" xfId="5" builtinId="31"/>
    <cellStyle name="40% - Accent3" xfId="12" builtinId="39"/>
    <cellStyle name="40% - Accent4" xfId="17" builtinId="43"/>
    <cellStyle name="40% - Accent5" xfId="8" builtinId="47"/>
    <cellStyle name="40% - Accent6" xfId="9" builtinId="51"/>
    <cellStyle name="60% - Accent2" xfId="6" builtinId="36"/>
    <cellStyle name="60% - Accent4" xfId="15" builtinId="44"/>
    <cellStyle name="60% - Accent5" xfId="21" builtinId="48"/>
    <cellStyle name="60% - Accent6" xfId="16" builtinId="52"/>
    <cellStyle name="Accent2" xfId="13" builtinId="33"/>
    <cellStyle name="Accent3" xfId="10" builtinId="37"/>
    <cellStyle name="Accent4" xfId="7" builtinId="41"/>
    <cellStyle name="Accent5" xfId="14" builtinId="45"/>
    <cellStyle name="Accent6" xfId="24" builtinId="49"/>
    <cellStyle name="Bad" xfId="2" builtinId="27"/>
    <cellStyle name="Check Cell" xfId="20" builtinId="23"/>
    <cellStyle name="Good" xfId="3" builtinId="26"/>
    <cellStyle name="Hyperlink" xfId="11" builtinId="8"/>
    <cellStyle name="Input" xfId="4" builtinId="20"/>
    <cellStyle name="Neutral" xfId="1" builtinId="28"/>
    <cellStyle name="Normal" xfId="0" builtinId="0"/>
    <cellStyle name="Note" xfId="19" builtinId="10"/>
    <cellStyle name="Style 1" xfId="23"/>
    <cellStyle name="Style 2" xfId="25"/>
    <cellStyle name="Style 3" xfId="26"/>
    <cellStyle name="Total" xfId="22" builtinId="25"/>
    <cellStyle name="yel-org" xfId="27"/>
  </cellStyles>
  <dxfs count="94">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type="path" left="0.5" right="0.5" top="0.5" bottom="0.5">
          <stop position="0">
            <color theme="0"/>
          </stop>
          <stop position="1">
            <color theme="2" tint="-0.74901577806939912"/>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b val="0"/>
        <i val="0"/>
        <strike val="0"/>
        <condense val="0"/>
        <extend val="0"/>
        <outline val="0"/>
        <shadow val="0"/>
        <u val="none"/>
        <vertAlign val="baseline"/>
        <sz val="12"/>
        <color rgb="FF000000"/>
        <name val="Candara"/>
        <scheme val="none"/>
      </font>
      <fill>
        <patternFill patternType="none">
          <fgColor rgb="FF000000"/>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80">
          <stop position="0">
            <color theme="0"/>
          </stop>
          <stop position="1">
            <color rgb="FFFF6699"/>
          </stop>
        </gradientFill>
      </fill>
    </dxf>
    <dxf>
      <alignment horizontal="center" textRotation="0" indent="0" justifyLastLine="0" shrinkToFit="0" readingOrder="0"/>
    </dxf>
    <dxf>
      <border outline="0">
        <bottom style="thin">
          <color rgb="FF000000"/>
        </bottom>
      </border>
    </dxf>
    <dxf>
      <alignment horizontal="center" textRotation="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left="0.5" right="0.5" top="0.5" bottom="0.5">
          <stop position="0">
            <color theme="0"/>
          </stop>
          <stop position="1">
            <color rgb="FFFFCC00"/>
          </stop>
        </gradientFill>
      </fill>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border outline="0">
        <bottom style="thin">
          <color rgb="FF000000"/>
        </bottom>
      </border>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left="0.5" right="0.5" top="0.5" bottom="0.5">
          <stop position="0">
            <color theme="0"/>
          </stop>
          <stop position="1">
            <color rgb="FFFFCC00"/>
          </stop>
        </gradientFill>
      </fill>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border outline="0">
        <bottom style="thin">
          <color indexed="64"/>
        </bottom>
      </border>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left="0.5" right="0.5" top="0.5" bottom="0.5">
          <stop position="0">
            <color theme="0"/>
          </stop>
          <stop position="1">
            <color rgb="FFFFCC00"/>
          </stop>
        </gradientFill>
      </fill>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fill>
        <gradientFill degree="180">
          <stop position="0">
            <color theme="2" tint="-0.49803155613879818"/>
          </stop>
          <stop position="1">
            <color rgb="FFFFCC00"/>
          </stop>
        </gradientFill>
      </fill>
    </dxf>
    <dxf>
      <fill>
        <gradientFill type="path" left="1" right="1" top="1" bottom="1">
          <stop position="0">
            <color theme="0"/>
          </stop>
          <stop position="1">
            <color rgb="FF99CC00"/>
          </stop>
        </gradientFill>
      </fill>
    </dxf>
    <dxf>
      <fill>
        <gradientFill type="path" left="0.5" right="0.5" top="0.5" bottom="0.5">
          <stop position="0">
            <color theme="0"/>
          </stop>
          <stop position="1">
            <color rgb="FFFF9933"/>
          </stop>
        </gradientFill>
      </fill>
    </dxf>
    <dxf>
      <fill>
        <gradientFill degree="135">
          <stop position="0">
            <color theme="0"/>
          </stop>
          <stop position="0.5">
            <color rgb="FFCCCC00"/>
          </stop>
          <stop position="1">
            <color theme="0"/>
          </stop>
        </gradientFill>
      </fill>
    </dxf>
    <dxf>
      <fill>
        <patternFill>
          <bgColor theme="7" tint="0.39994506668294322"/>
        </patternFill>
      </fill>
    </dxf>
  </dxfs>
  <tableStyles count="2" defaultTableStyle="TableStyleMedium2" defaultPivotStyle="PivotStyleMedium9">
    <tableStyle name="Table Style 1" pivot="0" count="0"/>
    <tableStyle name="Table Style 2" pivot="0" count="1">
      <tableStyleElement type="secondRowStripe" dxfId="93"/>
    </tableStyle>
  </tableStyles>
  <colors>
    <mruColors>
      <color rgb="FFFF9966"/>
      <color rgb="FFCCCC00"/>
      <color rgb="FFFFCC00"/>
      <color rgb="FFFF9933"/>
      <color rgb="FF99CC00"/>
      <color rgb="FFFF99CC"/>
      <color rgb="FFCC99FF"/>
      <color rgb="FFFF9999"/>
      <color rgb="FFFF6699"/>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'1.jan'!$A$3:$A$33</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'1.jan'!$B$3:$B$33</c:f>
              <c:numCache>
                <c:formatCode>General</c:formatCode>
                <c:ptCount val="31"/>
                <c:pt idx="0">
                  <c:v>4.75</c:v>
                </c:pt>
                <c:pt idx="1">
                  <c:v>7</c:v>
                </c:pt>
                <c:pt idx="2">
                  <c:v>4.5</c:v>
                </c:pt>
                <c:pt idx="3">
                  <c:v>7.25</c:v>
                </c:pt>
                <c:pt idx="4">
                  <c:v>3</c:v>
                </c:pt>
                <c:pt idx="5">
                  <c:v>1.75</c:v>
                </c:pt>
                <c:pt idx="6">
                  <c:v>3</c:v>
                </c:pt>
                <c:pt idx="7">
                  <c:v>2.5</c:v>
                </c:pt>
                <c:pt idx="8">
                  <c:v>0.5</c:v>
                </c:pt>
                <c:pt idx="9">
                  <c:v>2</c:v>
                </c:pt>
                <c:pt idx="10">
                  <c:v>1.5</c:v>
                </c:pt>
                <c:pt idx="13">
                  <c:v>0</c:v>
                </c:pt>
                <c:pt idx="14">
                  <c:v>0</c:v>
                </c:pt>
                <c:pt idx="15">
                  <c:v>0</c:v>
                </c:pt>
                <c:pt idx="16">
                  <c:v>0</c:v>
                </c:pt>
                <c:pt idx="17">
                  <c:v>0</c:v>
                </c:pt>
                <c:pt idx="20">
                  <c:v>5</c:v>
                </c:pt>
                <c:pt idx="21">
                  <c:v>6.5</c:v>
                </c:pt>
                <c:pt idx="30">
                  <c:v>1</c:v>
                </c:pt>
              </c:numCache>
            </c:numRef>
          </c:val>
          <c:smooth val="0"/>
        </c:ser>
        <c:dLbls>
          <c:dLblPos val="ctr"/>
          <c:showLegendKey val="0"/>
          <c:showVal val="1"/>
          <c:showCatName val="0"/>
          <c:showSerName val="0"/>
          <c:showPercent val="0"/>
          <c:showBubbleSize val="0"/>
        </c:dLbls>
        <c:smooth val="0"/>
        <c:axId val="1301357760"/>
        <c:axId val="1301352864"/>
      </c:lineChart>
      <c:dateAx>
        <c:axId val="1301357760"/>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52864"/>
        <c:crosses val="autoZero"/>
        <c:auto val="1"/>
        <c:lblOffset val="100"/>
        <c:baseTimeUnit val="days"/>
      </c:dateAx>
      <c:valAx>
        <c:axId val="13013528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5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'2.feb'!$A$3:$A$30</c:f>
              <c:numCache>
                <c:formatCode>d\-mmm</c:formatCode>
                <c:ptCount val="28"/>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cat>
          <c:val>
            <c:numRef>
              <c:f>'2.feb'!$B$3:$B$30</c:f>
              <c:numCache>
                <c:formatCode>General</c:formatCode>
                <c:ptCount val="28"/>
                <c:pt idx="0">
                  <c:v>4.5</c:v>
                </c:pt>
                <c:pt idx="1">
                  <c:v>1</c:v>
                </c:pt>
                <c:pt idx="2">
                  <c:v>0.75</c:v>
                </c:pt>
                <c:pt idx="3">
                  <c:v>0.75</c:v>
                </c:pt>
                <c:pt idx="7">
                  <c:v>0.5</c:v>
                </c:pt>
                <c:pt idx="9">
                  <c:v>1.5</c:v>
                </c:pt>
                <c:pt idx="10">
                  <c:v>0</c:v>
                </c:pt>
                <c:pt idx="12">
                  <c:v>3</c:v>
                </c:pt>
                <c:pt idx="18">
                  <c:v>1</c:v>
                </c:pt>
                <c:pt idx="19">
                  <c:v>2</c:v>
                </c:pt>
                <c:pt idx="20">
                  <c:v>7</c:v>
                </c:pt>
                <c:pt idx="21">
                  <c:v>7</c:v>
                </c:pt>
                <c:pt idx="22">
                  <c:v>2.25</c:v>
                </c:pt>
                <c:pt idx="23">
                  <c:v>1</c:v>
                </c:pt>
                <c:pt idx="27">
                  <c:v>3.75</c:v>
                </c:pt>
              </c:numCache>
            </c:numRef>
          </c:val>
          <c:smooth val="0"/>
        </c:ser>
        <c:dLbls>
          <c:dLblPos val="ctr"/>
          <c:showLegendKey val="0"/>
          <c:showVal val="1"/>
          <c:showCatName val="0"/>
          <c:showSerName val="0"/>
          <c:showPercent val="0"/>
          <c:showBubbleSize val="0"/>
        </c:dLbls>
        <c:smooth val="0"/>
        <c:axId val="1301361568"/>
        <c:axId val="1301359936"/>
      </c:lineChart>
      <c:dateAx>
        <c:axId val="130136156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59936"/>
        <c:crosses val="autoZero"/>
        <c:auto val="1"/>
        <c:lblOffset val="100"/>
        <c:baseTimeUnit val="days"/>
      </c:dateAx>
      <c:valAx>
        <c:axId val="13013599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61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'3.march'!$A$3:$A$30</c:f>
              <c:numCache>
                <c:formatCode>d\-mmm</c:formatCode>
                <c:ptCount val="28"/>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numCache>
            </c:numRef>
          </c:cat>
          <c:val>
            <c:numRef>
              <c:f>'3.march'!$B$3:$B$30</c:f>
              <c:numCache>
                <c:formatCode>General</c:formatCode>
                <c:ptCount val="28"/>
                <c:pt idx="0">
                  <c:v>2</c:v>
                </c:pt>
                <c:pt idx="1">
                  <c:v>3</c:v>
                </c:pt>
                <c:pt idx="2">
                  <c:v>3</c:v>
                </c:pt>
                <c:pt idx="3">
                  <c:v>4.25</c:v>
                </c:pt>
                <c:pt idx="4">
                  <c:v>1.5</c:v>
                </c:pt>
                <c:pt idx="5">
                  <c:v>0</c:v>
                </c:pt>
                <c:pt idx="6">
                  <c:v>0.5</c:v>
                </c:pt>
                <c:pt idx="7">
                  <c:v>0</c:v>
                </c:pt>
                <c:pt idx="8">
                  <c:v>1.75</c:v>
                </c:pt>
                <c:pt idx="9">
                  <c:v>3</c:v>
                </c:pt>
                <c:pt idx="10">
                  <c:v>2</c:v>
                </c:pt>
                <c:pt idx="16">
                  <c:v>2</c:v>
                </c:pt>
                <c:pt idx="17">
                  <c:v>0.5</c:v>
                </c:pt>
                <c:pt idx="18">
                  <c:v>3.5</c:v>
                </c:pt>
                <c:pt idx="19">
                  <c:v>2</c:v>
                </c:pt>
                <c:pt idx="20">
                  <c:v>3.25</c:v>
                </c:pt>
                <c:pt idx="22">
                  <c:v>2.25</c:v>
                </c:pt>
                <c:pt idx="23">
                  <c:v>1.5</c:v>
                </c:pt>
                <c:pt idx="24">
                  <c:v>2</c:v>
                </c:pt>
                <c:pt idx="25">
                  <c:v>3.5</c:v>
                </c:pt>
                <c:pt idx="27">
                  <c:v>3</c:v>
                </c:pt>
              </c:numCache>
            </c:numRef>
          </c:val>
          <c:smooth val="0"/>
        </c:ser>
        <c:dLbls>
          <c:dLblPos val="ctr"/>
          <c:showLegendKey val="0"/>
          <c:showVal val="1"/>
          <c:showCatName val="0"/>
          <c:showSerName val="0"/>
          <c:showPercent val="0"/>
          <c:showBubbleSize val="0"/>
        </c:dLbls>
        <c:smooth val="0"/>
        <c:axId val="1301347424"/>
        <c:axId val="1301353952"/>
      </c:lineChart>
      <c:dateAx>
        <c:axId val="130134742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53952"/>
        <c:crosses val="autoZero"/>
        <c:auto val="1"/>
        <c:lblOffset val="100"/>
        <c:baseTimeUnit val="days"/>
      </c:dateAx>
      <c:valAx>
        <c:axId val="1301353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47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'4.apr'!$A$3:$A$30</c:f>
              <c:numCache>
                <c:formatCode>d\-mmm</c:formatCode>
                <c:ptCount val="28"/>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numCache>
            </c:numRef>
          </c:cat>
          <c:val>
            <c:numRef>
              <c:f>'4.apr'!$B$3:$B$30</c:f>
              <c:numCache>
                <c:formatCode>General</c:formatCode>
                <c:ptCount val="28"/>
                <c:pt idx="0">
                  <c:v>4.5</c:v>
                </c:pt>
                <c:pt idx="3">
                  <c:v>6.5</c:v>
                </c:pt>
                <c:pt idx="4">
                  <c:v>6</c:v>
                </c:pt>
                <c:pt idx="5">
                  <c:v>2</c:v>
                </c:pt>
              </c:numCache>
            </c:numRef>
          </c:val>
          <c:smooth val="0"/>
        </c:ser>
        <c:dLbls>
          <c:dLblPos val="ctr"/>
          <c:showLegendKey val="0"/>
          <c:showVal val="1"/>
          <c:showCatName val="0"/>
          <c:showSerName val="0"/>
          <c:showPercent val="0"/>
          <c:showBubbleSize val="0"/>
        </c:dLbls>
        <c:smooth val="0"/>
        <c:axId val="1301356128"/>
        <c:axId val="1301362112"/>
      </c:lineChart>
      <c:dateAx>
        <c:axId val="130135612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62112"/>
        <c:crosses val="autoZero"/>
        <c:auto val="1"/>
        <c:lblOffset val="100"/>
        <c:baseTimeUnit val="days"/>
      </c:dateAx>
      <c:valAx>
        <c:axId val="13013621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56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'5.may'!$A$6:$A$33</c:f>
              <c:numCache>
                <c:formatCode>d\-mmm</c:formatCode>
                <c:ptCount val="28"/>
                <c:pt idx="0">
                  <c:v>45781</c:v>
                </c:pt>
                <c:pt idx="1">
                  <c:v>45782</c:v>
                </c:pt>
                <c:pt idx="2">
                  <c:v>45783</c:v>
                </c:pt>
                <c:pt idx="3">
                  <c:v>45784</c:v>
                </c:pt>
                <c:pt idx="4">
                  <c:v>45785</c:v>
                </c:pt>
                <c:pt idx="5">
                  <c:v>45786</c:v>
                </c:pt>
                <c:pt idx="6">
                  <c:v>45787</c:v>
                </c:pt>
                <c:pt idx="7">
                  <c:v>45788</c:v>
                </c:pt>
                <c:pt idx="8">
                  <c:v>45789</c:v>
                </c:pt>
                <c:pt idx="9">
                  <c:v>45790</c:v>
                </c:pt>
                <c:pt idx="10">
                  <c:v>45791</c:v>
                </c:pt>
                <c:pt idx="11">
                  <c:v>45792</c:v>
                </c:pt>
                <c:pt idx="12">
                  <c:v>45793</c:v>
                </c:pt>
                <c:pt idx="13">
                  <c:v>45794</c:v>
                </c:pt>
                <c:pt idx="14">
                  <c:v>45795</c:v>
                </c:pt>
                <c:pt idx="15">
                  <c:v>45796</c:v>
                </c:pt>
                <c:pt idx="16">
                  <c:v>45797</c:v>
                </c:pt>
                <c:pt idx="17">
                  <c:v>45798</c:v>
                </c:pt>
                <c:pt idx="18">
                  <c:v>45799</c:v>
                </c:pt>
                <c:pt idx="19">
                  <c:v>45800</c:v>
                </c:pt>
                <c:pt idx="20">
                  <c:v>45801</c:v>
                </c:pt>
                <c:pt idx="21">
                  <c:v>45802</c:v>
                </c:pt>
                <c:pt idx="22">
                  <c:v>45803</c:v>
                </c:pt>
                <c:pt idx="23">
                  <c:v>45804</c:v>
                </c:pt>
                <c:pt idx="24">
                  <c:v>45805</c:v>
                </c:pt>
                <c:pt idx="25">
                  <c:v>45806</c:v>
                </c:pt>
                <c:pt idx="26">
                  <c:v>45807</c:v>
                </c:pt>
                <c:pt idx="27">
                  <c:v>45808</c:v>
                </c:pt>
              </c:numCache>
            </c:numRef>
          </c:cat>
          <c:val>
            <c:numRef>
              <c:f>'5.may'!$B$6:$B$33</c:f>
              <c:numCache>
                <c:formatCode>General</c:formatCode>
                <c:ptCount val="28"/>
              </c:numCache>
            </c:numRef>
          </c:val>
          <c:smooth val="0"/>
        </c:ser>
        <c:dLbls>
          <c:dLblPos val="ctr"/>
          <c:showLegendKey val="0"/>
          <c:showVal val="1"/>
          <c:showCatName val="0"/>
          <c:showSerName val="0"/>
          <c:showPercent val="0"/>
          <c:showBubbleSize val="0"/>
        </c:dLbls>
        <c:smooth val="0"/>
        <c:axId val="1301349056"/>
        <c:axId val="1301349600"/>
      </c:lineChart>
      <c:dateAx>
        <c:axId val="1301349056"/>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49600"/>
        <c:crosses val="autoZero"/>
        <c:auto val="1"/>
        <c:lblOffset val="100"/>
        <c:baseTimeUnit val="days"/>
      </c:dateAx>
      <c:valAx>
        <c:axId val="13013496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349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'6.june '!$A$6:$A$33</c:f>
              <c:numCache>
                <c:formatCode>d\-mmm</c:formatCode>
                <c:ptCount val="28"/>
                <c:pt idx="0">
                  <c:v>45812</c:v>
                </c:pt>
                <c:pt idx="1">
                  <c:v>45813</c:v>
                </c:pt>
                <c:pt idx="2">
                  <c:v>45814</c:v>
                </c:pt>
                <c:pt idx="3">
                  <c:v>45815</c:v>
                </c:pt>
                <c:pt idx="4">
                  <c:v>45816</c:v>
                </c:pt>
                <c:pt idx="5">
                  <c:v>45817</c:v>
                </c:pt>
                <c:pt idx="6">
                  <c:v>45818</c:v>
                </c:pt>
                <c:pt idx="7">
                  <c:v>45819</c:v>
                </c:pt>
                <c:pt idx="8">
                  <c:v>45820</c:v>
                </c:pt>
                <c:pt idx="9">
                  <c:v>45821</c:v>
                </c:pt>
                <c:pt idx="10">
                  <c:v>45822</c:v>
                </c:pt>
                <c:pt idx="11">
                  <c:v>45823</c:v>
                </c:pt>
                <c:pt idx="12">
                  <c:v>45824</c:v>
                </c:pt>
                <c:pt idx="13">
                  <c:v>45825</c:v>
                </c:pt>
                <c:pt idx="14">
                  <c:v>45826</c:v>
                </c:pt>
                <c:pt idx="15">
                  <c:v>45827</c:v>
                </c:pt>
                <c:pt idx="16">
                  <c:v>45828</c:v>
                </c:pt>
                <c:pt idx="17">
                  <c:v>45829</c:v>
                </c:pt>
                <c:pt idx="18">
                  <c:v>45830</c:v>
                </c:pt>
                <c:pt idx="19">
                  <c:v>45831</c:v>
                </c:pt>
                <c:pt idx="20">
                  <c:v>45832</c:v>
                </c:pt>
                <c:pt idx="21">
                  <c:v>45833</c:v>
                </c:pt>
                <c:pt idx="22">
                  <c:v>45834</c:v>
                </c:pt>
                <c:pt idx="23">
                  <c:v>45835</c:v>
                </c:pt>
                <c:pt idx="24">
                  <c:v>45836</c:v>
                </c:pt>
                <c:pt idx="25">
                  <c:v>45837</c:v>
                </c:pt>
                <c:pt idx="26">
                  <c:v>45838</c:v>
                </c:pt>
              </c:numCache>
            </c:numRef>
          </c:cat>
          <c:val>
            <c:numRef>
              <c:f>'6.june '!$B$6:$B$33</c:f>
              <c:numCache>
                <c:formatCode>General</c:formatCode>
                <c:ptCount val="28"/>
              </c:numCache>
            </c:numRef>
          </c:val>
          <c:smooth val="0"/>
        </c:ser>
        <c:dLbls>
          <c:dLblPos val="ctr"/>
          <c:showLegendKey val="0"/>
          <c:showVal val="1"/>
          <c:showCatName val="0"/>
          <c:showSerName val="0"/>
          <c:showPercent val="0"/>
          <c:showBubbleSize val="0"/>
        </c:dLbls>
        <c:smooth val="0"/>
        <c:axId val="1274639248"/>
        <c:axId val="1274627280"/>
      </c:lineChart>
      <c:dateAx>
        <c:axId val="127463924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27280"/>
        <c:crosses val="autoZero"/>
        <c:auto val="1"/>
        <c:lblOffset val="100"/>
        <c:baseTimeUnit val="days"/>
      </c:dateAx>
      <c:valAx>
        <c:axId val="12746272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9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'7.july'!$A$3:$A$33</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'7.july'!$B$3:$B$33</c:f>
              <c:numCache>
                <c:formatCode>General</c:formatCode>
                <c:ptCount val="31"/>
              </c:numCache>
            </c:numRef>
          </c:val>
          <c:smooth val="0"/>
        </c:ser>
        <c:dLbls>
          <c:dLblPos val="ctr"/>
          <c:showLegendKey val="0"/>
          <c:showVal val="1"/>
          <c:showCatName val="0"/>
          <c:showSerName val="0"/>
          <c:showPercent val="0"/>
          <c:showBubbleSize val="0"/>
        </c:dLbls>
        <c:smooth val="0"/>
        <c:axId val="1274636528"/>
        <c:axId val="1274640880"/>
      </c:lineChart>
      <c:dateAx>
        <c:axId val="127463652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40880"/>
        <c:crosses val="autoZero"/>
        <c:auto val="1"/>
        <c:lblOffset val="100"/>
        <c:baseTimeUnit val="days"/>
      </c:dateAx>
      <c:valAx>
        <c:axId val="12746408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6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'8.aug '!$A$3:$A$33</c:f>
              <c:numCache>
                <c:formatCode>d\-mmm</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cat>
          <c:val>
            <c:numRef>
              <c:f>'8.aug '!$B$3:$B$33</c:f>
              <c:numCache>
                <c:formatCode>General</c:formatCode>
                <c:ptCount val="31"/>
              </c:numCache>
            </c:numRef>
          </c:val>
          <c:smooth val="0"/>
        </c:ser>
        <c:dLbls>
          <c:dLblPos val="ctr"/>
          <c:showLegendKey val="0"/>
          <c:showVal val="1"/>
          <c:showCatName val="0"/>
          <c:showSerName val="0"/>
          <c:showPercent val="0"/>
          <c:showBubbleSize val="0"/>
        </c:dLbls>
        <c:smooth val="0"/>
        <c:axId val="1274631632"/>
        <c:axId val="1274633808"/>
      </c:lineChart>
      <c:dateAx>
        <c:axId val="1274631632"/>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3808"/>
        <c:crosses val="autoZero"/>
        <c:auto val="1"/>
        <c:lblOffset val="100"/>
        <c:baseTimeUnit val="days"/>
      </c:dateAx>
      <c:valAx>
        <c:axId val="12746338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1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'9.sept '!$A$3:$A$33</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numCache>
            </c:numRef>
          </c:cat>
          <c:val>
            <c:numRef>
              <c:f>'9.sept '!$B$3:$B$33</c:f>
              <c:numCache>
                <c:formatCode>General</c:formatCode>
                <c:ptCount val="31"/>
              </c:numCache>
            </c:numRef>
          </c:val>
          <c:smooth val="0"/>
        </c:ser>
        <c:dLbls>
          <c:dLblPos val="ctr"/>
          <c:showLegendKey val="0"/>
          <c:showVal val="1"/>
          <c:showCatName val="0"/>
          <c:showSerName val="0"/>
          <c:showPercent val="0"/>
          <c:showBubbleSize val="0"/>
        </c:dLbls>
        <c:smooth val="0"/>
        <c:axId val="1274641424"/>
        <c:axId val="1274632720"/>
      </c:lineChart>
      <c:dateAx>
        <c:axId val="127464142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2720"/>
        <c:crosses val="autoZero"/>
        <c:auto val="1"/>
        <c:lblOffset val="100"/>
        <c:baseTimeUnit val="days"/>
      </c:dateAx>
      <c:valAx>
        <c:axId val="12746327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41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'10.oct (2)'!$A$3:$A$33</c:f>
              <c:numCache>
                <c:formatCode>d\-mmm</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'10.oct (2)'!$B$3:$B$33</c:f>
              <c:numCache>
                <c:formatCode>General</c:formatCode>
                <c:ptCount val="31"/>
              </c:numCache>
            </c:numRef>
          </c:val>
          <c:smooth val="0"/>
        </c:ser>
        <c:dLbls>
          <c:dLblPos val="ctr"/>
          <c:showLegendKey val="0"/>
          <c:showVal val="1"/>
          <c:showCatName val="0"/>
          <c:showSerName val="0"/>
          <c:showPercent val="0"/>
          <c:showBubbleSize val="0"/>
        </c:dLbls>
        <c:smooth val="0"/>
        <c:axId val="1274642512"/>
        <c:axId val="1274627824"/>
      </c:lineChart>
      <c:dateAx>
        <c:axId val="1274642512"/>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27824"/>
        <c:crosses val="autoZero"/>
        <c:auto val="1"/>
        <c:lblOffset val="100"/>
        <c:baseTimeUnit val="days"/>
      </c:dateAx>
      <c:valAx>
        <c:axId val="1274627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42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'11. nov '!$A$3:$A$33</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'11. nov '!$B$3:$B$33</c:f>
              <c:numCache>
                <c:formatCode>General</c:formatCode>
                <c:ptCount val="31"/>
              </c:numCache>
            </c:numRef>
          </c:val>
          <c:smooth val="0"/>
        </c:ser>
        <c:dLbls>
          <c:dLblPos val="ctr"/>
          <c:showLegendKey val="0"/>
          <c:showVal val="1"/>
          <c:showCatName val="0"/>
          <c:showSerName val="0"/>
          <c:showPercent val="0"/>
          <c:showBubbleSize val="0"/>
        </c:dLbls>
        <c:smooth val="0"/>
        <c:axId val="1274637616"/>
        <c:axId val="1274632176"/>
      </c:lineChart>
      <c:dateAx>
        <c:axId val="1274637616"/>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2176"/>
        <c:crosses val="autoZero"/>
        <c:auto val="1"/>
        <c:lblOffset val="100"/>
        <c:baseTimeUnit val="days"/>
      </c:dateAx>
      <c:valAx>
        <c:axId val="12746321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7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'12.dec'!$A$3:$A$33</c:f>
              <c:numCache>
                <c:formatCode>d\-mmm</c:formatCode>
                <c:ptCount val="31"/>
                <c:pt idx="0">
                  <c:v>45992</c:v>
                </c:pt>
                <c:pt idx="1">
                  <c:v>45993</c:v>
                </c:pt>
                <c:pt idx="2">
                  <c:v>45994</c:v>
                </c:pt>
                <c:pt idx="3">
                  <c:v>45995</c:v>
                </c:pt>
                <c:pt idx="4">
                  <c:v>45996</c:v>
                </c:pt>
                <c:pt idx="5">
                  <c:v>45997</c:v>
                </c:pt>
                <c:pt idx="6">
                  <c:v>45998</c:v>
                </c:pt>
                <c:pt idx="7">
                  <c:v>45999</c:v>
                </c:pt>
                <c:pt idx="8">
                  <c:v>46000</c:v>
                </c:pt>
                <c:pt idx="9">
                  <c:v>46001</c:v>
                </c:pt>
                <c:pt idx="10">
                  <c:v>46002</c:v>
                </c:pt>
                <c:pt idx="11">
                  <c:v>46003</c:v>
                </c:pt>
                <c:pt idx="12">
                  <c:v>46004</c:v>
                </c:pt>
                <c:pt idx="13">
                  <c:v>46005</c:v>
                </c:pt>
                <c:pt idx="14">
                  <c:v>46006</c:v>
                </c:pt>
                <c:pt idx="15">
                  <c:v>46007</c:v>
                </c:pt>
                <c:pt idx="16">
                  <c:v>46008</c:v>
                </c:pt>
                <c:pt idx="17">
                  <c:v>46009</c:v>
                </c:pt>
                <c:pt idx="18">
                  <c:v>46010</c:v>
                </c:pt>
                <c:pt idx="19">
                  <c:v>46011</c:v>
                </c:pt>
                <c:pt idx="20">
                  <c:v>46012</c:v>
                </c:pt>
                <c:pt idx="21">
                  <c:v>46013</c:v>
                </c:pt>
                <c:pt idx="22">
                  <c:v>46014</c:v>
                </c:pt>
                <c:pt idx="23">
                  <c:v>46015</c:v>
                </c:pt>
                <c:pt idx="24">
                  <c:v>46016</c:v>
                </c:pt>
                <c:pt idx="25">
                  <c:v>46017</c:v>
                </c:pt>
                <c:pt idx="26">
                  <c:v>46018</c:v>
                </c:pt>
                <c:pt idx="27">
                  <c:v>46019</c:v>
                </c:pt>
                <c:pt idx="28">
                  <c:v>46020</c:v>
                </c:pt>
                <c:pt idx="29">
                  <c:v>46021</c:v>
                </c:pt>
                <c:pt idx="30">
                  <c:v>46022</c:v>
                </c:pt>
              </c:numCache>
            </c:numRef>
          </c:cat>
          <c:val>
            <c:numRef>
              <c:f>'12.dec'!$B$3:$B$33</c:f>
              <c:numCache>
                <c:formatCode>General</c:formatCode>
                <c:ptCount val="31"/>
                <c:pt idx="30">
                  <c:v>3</c:v>
                </c:pt>
              </c:numCache>
            </c:numRef>
          </c:val>
          <c:smooth val="0"/>
        </c:ser>
        <c:dLbls>
          <c:dLblPos val="ctr"/>
          <c:showLegendKey val="0"/>
          <c:showVal val="1"/>
          <c:showCatName val="0"/>
          <c:showSerName val="0"/>
          <c:showPercent val="0"/>
          <c:showBubbleSize val="0"/>
        </c:dLbls>
        <c:smooth val="0"/>
        <c:axId val="1274639792"/>
        <c:axId val="1274630000"/>
      </c:lineChart>
      <c:dateAx>
        <c:axId val="1274639792"/>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0000"/>
        <c:crosses val="autoZero"/>
        <c:auto val="1"/>
        <c:lblOffset val="100"/>
        <c:baseTimeUnit val="days"/>
      </c:dateAx>
      <c:valAx>
        <c:axId val="12746300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4639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13</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514349</xdr:colOff>
      <xdr:row>32</xdr:row>
      <xdr:rowOff>157162</xdr:rowOff>
    </xdr:from>
    <xdr:to>
      <xdr:col>13</xdr:col>
      <xdr:colOff>114299</xdr:colOff>
      <xdr:row>47</xdr:row>
      <xdr:rowOff>4762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14</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13</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13</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3" name="Table3" displayName="Table3" ref="L3:L23" totalsRowShown="0" headerRowDxfId="85" tableBorderDxfId="84" dataCellStyle="Style 2">
  <autoFilter ref="L3:L23"/>
  <tableColumns count="1">
    <tableColumn id="1" name="Total wastage" dataCellStyle="Style 2"/>
  </tableColumns>
  <tableStyleInfo name="TableStyleMedium28" showFirstColumn="0" showLastColumn="0" showRowStripes="1" showColumnStripes="0"/>
</table>
</file>

<file path=xl/tables/table2.xml><?xml version="1.0" encoding="utf-8"?>
<table xmlns="http://schemas.openxmlformats.org/spreadsheetml/2006/main" id="1" name="Table32" displayName="Table32" ref="L3:L23" totalsRowShown="0" headerRowDxfId="80" tableBorderDxfId="79" dataCellStyle="Style 2">
  <autoFilter ref="L3:L23"/>
  <tableColumns count="1">
    <tableColumn id="1" name="Total wastage" dataCellStyle="Style 2"/>
  </tableColumns>
  <tableStyleInfo name="TableStyleMedium28" showFirstColumn="0" showLastColumn="0" showRowStripes="1" showColumnStripes="0"/>
</table>
</file>

<file path=xl/tables/table3.xml><?xml version="1.0" encoding="utf-8"?>
<table xmlns="http://schemas.openxmlformats.org/spreadsheetml/2006/main" id="2" name="Table323" displayName="Table323" ref="L3:L23" totalsRowShown="0" headerRowDxfId="75" dataDxfId="74" tableBorderDxfId="73" dataCellStyle="yel-org">
  <autoFilter ref="L3:L23"/>
  <tableColumns count="1">
    <tableColumn id="1" name="Total wastage" dataDxfId="72" dataCellStyle="yel-org"/>
  </tableColumns>
  <tableStyleInfo name="TableStyleMedium28" showFirstColumn="0" showLastColumn="0" showRowStripes="1" showColumnStripes="0"/>
</table>
</file>

<file path=xl/tables/table4.xml><?xml version="1.0" encoding="utf-8"?>
<table xmlns="http://schemas.openxmlformats.org/spreadsheetml/2006/main" id="4" name="Table3235" displayName="Table3235" ref="M3:N24" totalsRowShown="0" headerRowDxfId="67" dataDxfId="66" tableBorderDxfId="65">
  <autoFilter ref="M3:N24"/>
  <tableColumns count="2">
    <tableColumn id="1" name="Column1" dataDxfId="64"/>
    <tableColumn id="2" name="Column2" dataDxfId="63" dataCellStyle="40% - Accent1"/>
  </tableColumns>
  <tableStyleInfo name="TableStyleMedium27" showFirstColumn="0" showLastColumn="0" showRowStripes="1" showColumnStripes="0"/>
</table>
</file>

<file path=xl/tables/table5.xml><?xml version="1.0" encoding="utf-8"?>
<table xmlns="http://schemas.openxmlformats.org/spreadsheetml/2006/main" id="6" name="Table323567" displayName="Table323567" ref="J3:K25" totalsRowShown="0" headerRowDxfId="58" dataDxfId="57" tableBorderDxfId="56" dataCellStyle="40% - Accent4">
  <autoFilter ref="J3:K25"/>
  <tableColumns count="2">
    <tableColumn id="1" name="Column1" dataDxfId="55" dataCellStyle="40% - Accent4"/>
    <tableColumn id="2" name="Column2" dataDxfId="54" dataCellStyle="40% - Accent4"/>
  </tableColumns>
  <tableStyleInfo name="TableStyleMedium2" showFirstColumn="0" showLastColumn="0" showRowStripes="1" showColumnStripes="0"/>
</table>
</file>

<file path=xl/tables/table6.xml><?xml version="1.0" encoding="utf-8"?>
<table xmlns="http://schemas.openxmlformats.org/spreadsheetml/2006/main" id="7" name="Table323568" displayName="Table323568" ref="J3:K25" totalsRowShown="0" headerRowDxfId="49" dataDxfId="48" tableBorderDxfId="47" dataCellStyle="40% - Accent4">
  <autoFilter ref="J3:K25"/>
  <tableColumns count="2">
    <tableColumn id="1" name="Column1" dataDxfId="46" dataCellStyle="40% - Accent4"/>
    <tableColumn id="2" name="Column2" dataDxfId="45" dataCellStyle="40% - Accent4"/>
  </tableColumns>
  <tableStyleInfo name="TableStyleMedium2" showFirstColumn="0" showLastColumn="0" showRowStripes="1" showColumnStripes="0"/>
</table>
</file>

<file path=xl/tables/table7.xml><?xml version="1.0" encoding="utf-8"?>
<table xmlns="http://schemas.openxmlformats.org/spreadsheetml/2006/main" id="8" name="Table323569" displayName="Table323569" ref="J3:K25" totalsRowShown="0" headerRowDxfId="40" dataDxfId="39" tableBorderDxfId="38" dataCellStyle="40% - Accent4">
  <autoFilter ref="J3:K25"/>
  <tableColumns count="2">
    <tableColumn id="1" name="Column1" dataDxfId="37" dataCellStyle="40% - Accent4"/>
    <tableColumn id="2" name="Column2" dataDxfId="36" dataCellStyle="40% - Accent4"/>
  </tableColumns>
  <tableStyleInfo name="TableStyleMedium2" showFirstColumn="0" showLastColumn="0" showRowStripes="1" showColumnStripes="0"/>
</table>
</file>

<file path=xl/tables/table8.xml><?xml version="1.0" encoding="utf-8"?>
<table xmlns="http://schemas.openxmlformats.org/spreadsheetml/2006/main" id="9" name="Table3235610" displayName="Table3235610" ref="J3:K25" totalsRowShown="0" headerRowDxfId="31" dataDxfId="30" tableBorderDxfId="29" dataCellStyle="40% - Accent4">
  <autoFilter ref="J3:K25"/>
  <tableColumns count="2">
    <tableColumn id="1" name="Column1" dataDxfId="28" dataCellStyle="40% - Accent4"/>
    <tableColumn id="2" name="Column2" dataDxfId="27" dataCellStyle="40% - Accent4"/>
  </tableColumns>
  <tableStyleInfo name="TableStyleMedium2" showFirstColumn="0" showLastColumn="0" showRowStripes="1" showColumnStripes="0"/>
</table>
</file>

<file path=xl/tables/table9.xml><?xml version="1.0" encoding="utf-8"?>
<table xmlns="http://schemas.openxmlformats.org/spreadsheetml/2006/main" id="10" name="Table3235611" displayName="Table3235611" ref="J3:K25" totalsRowShown="0" headerRowDxfId="22" dataDxfId="21" tableBorderDxfId="20" dataCellStyle="40% - Accent4">
  <autoFilter ref="J3:K25"/>
  <tableColumns count="2">
    <tableColumn id="1" name="Column1" dataDxfId="19" dataCellStyle="40% - Accent4"/>
    <tableColumn id="2" name="Column2" dataDxfId="18" dataCellStyle="40% - Accent4"/>
  </tableColumns>
  <tableStyleInfo name="TableStyleMedium2" showFirstColumn="0" showLastColumn="0" showRowStripes="1" showColumnStripes="0"/>
</table>
</file>

<file path=xl/tables/table10.xml><?xml version="1.0" encoding="utf-8"?>
<table xmlns="http://schemas.openxmlformats.org/spreadsheetml/2006/main" id="11" name="Table3235612" displayName="Table3235612" ref="L3:M25" totalsRowShown="0" headerRowDxfId="13" dataDxfId="12" tableBorderDxfId="11" dataCellStyle="40% - Accent4">
  <autoFilter ref="L3:M25"/>
  <tableColumns count="2">
    <tableColumn id="1" name="Column1" dataDxfId="10" dataCellStyle="40% - Accent4"/>
    <tableColumn id="2" name="Column2" dataDxfId="9" dataCellStyle="40% - Accent4"/>
  </tableColumns>
  <tableStyleInfo name="TableStyleMedium2" showFirstColumn="0" showLastColumn="0" showRowStripes="1" showColumnStripes="0"/>
</table>
</file>

<file path=xl/tables/table11.xml><?xml version="1.0" encoding="utf-8"?>
<table xmlns="http://schemas.openxmlformats.org/spreadsheetml/2006/main" id="5" name="Table32356" displayName="Table32356" ref="L3:M25" totalsRowShown="0" headerRowDxfId="4" dataDxfId="3" tableBorderDxfId="2" dataCellStyle="40% - Accent4">
  <autoFilter ref="L3:M25"/>
  <tableColumns count="2">
    <tableColumn id="1" name="Column1" dataDxfId="1" dataCellStyle="40% - Accent4"/>
    <tableColumn id="2" name="Column2" dataDxfId="0" dataCellStyle="40% - Accent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KSLeXFe28L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50"/>
  <sheetViews>
    <sheetView workbookViewId="0">
      <selection activeCell="B8" sqref="B8:J8"/>
    </sheetView>
  </sheetViews>
  <sheetFormatPr defaultRowHeight="15"/>
  <cols>
    <col min="7" max="7" width="25.140625" customWidth="1"/>
    <col min="10" max="10" width="85.28515625" customWidth="1"/>
    <col min="19" max="19" width="5" customWidth="1"/>
    <col min="20" max="20" width="8.28515625" hidden="1" customWidth="1"/>
    <col min="21" max="21" width="9.140625" hidden="1" customWidth="1"/>
    <col min="22" max="22" width="4.5703125" customWidth="1"/>
  </cols>
  <sheetData>
    <row r="1" spans="2:21" ht="16.5">
      <c r="B1" s="343" t="s">
        <v>4</v>
      </c>
      <c r="C1" s="343"/>
      <c r="D1" s="343"/>
      <c r="E1" s="343"/>
      <c r="F1" s="343"/>
      <c r="G1" s="343"/>
      <c r="H1" s="343"/>
      <c r="I1" s="343"/>
      <c r="J1" s="343"/>
      <c r="L1" s="348" t="s">
        <v>5</v>
      </c>
      <c r="M1" s="348"/>
      <c r="N1" s="348"/>
      <c r="O1" s="348"/>
      <c r="P1" s="348"/>
      <c r="Q1" s="348"/>
      <c r="R1" s="348"/>
      <c r="S1" s="348"/>
      <c r="T1" s="348"/>
      <c r="U1" s="348"/>
    </row>
    <row r="2" spans="2:21" ht="16.5">
      <c r="B2" s="371" t="s">
        <v>102</v>
      </c>
      <c r="C2" s="371"/>
      <c r="D2" s="371"/>
      <c r="E2" s="371"/>
      <c r="F2" s="371"/>
      <c r="G2" s="371"/>
      <c r="H2" s="371"/>
      <c r="I2" s="371"/>
      <c r="J2" s="371"/>
      <c r="L2" s="351" t="s">
        <v>37</v>
      </c>
      <c r="M2" s="352"/>
      <c r="N2" s="352"/>
      <c r="O2" s="352"/>
      <c r="P2" s="352"/>
      <c r="Q2" s="352"/>
      <c r="R2" s="352"/>
      <c r="S2" s="352"/>
      <c r="T2" s="352"/>
      <c r="U2" s="352"/>
    </row>
    <row r="3" spans="2:21">
      <c r="B3" s="378" t="s">
        <v>10</v>
      </c>
      <c r="C3" s="378"/>
      <c r="D3" s="378"/>
      <c r="E3" s="378"/>
      <c r="F3" s="378"/>
      <c r="G3" s="378"/>
      <c r="H3" s="378"/>
      <c r="I3" s="378"/>
      <c r="J3" s="378"/>
      <c r="K3" s="75"/>
      <c r="L3" s="353" t="s">
        <v>38</v>
      </c>
      <c r="M3" s="353"/>
      <c r="N3" s="353"/>
      <c r="O3" s="353"/>
      <c r="P3" s="353"/>
      <c r="Q3" s="353"/>
      <c r="R3" s="353"/>
      <c r="S3" s="353"/>
      <c r="T3" s="353"/>
      <c r="U3" s="353"/>
    </row>
    <row r="4" spans="2:21" ht="15" customHeight="1">
      <c r="B4" s="372" t="s">
        <v>123</v>
      </c>
      <c r="C4" s="372"/>
      <c r="D4" s="372"/>
      <c r="E4" s="372"/>
      <c r="F4" s="372"/>
      <c r="G4" s="372"/>
      <c r="H4" s="372"/>
      <c r="I4" s="372"/>
      <c r="J4" s="372"/>
      <c r="K4" s="75"/>
      <c r="L4" s="353"/>
      <c r="M4" s="353"/>
      <c r="N4" s="353"/>
      <c r="O4" s="353"/>
      <c r="P4" s="353"/>
      <c r="Q4" s="353"/>
      <c r="R4" s="353"/>
      <c r="S4" s="353"/>
      <c r="T4" s="353"/>
      <c r="U4" s="353"/>
    </row>
    <row r="5" spans="2:21" ht="15" customHeight="1">
      <c r="B5" s="372"/>
      <c r="C5" s="372"/>
      <c r="D5" s="372"/>
      <c r="E5" s="372"/>
      <c r="F5" s="372"/>
      <c r="G5" s="372"/>
      <c r="H5" s="372"/>
      <c r="I5" s="372"/>
      <c r="J5" s="372"/>
      <c r="K5" s="75"/>
      <c r="L5" s="343" t="s">
        <v>26</v>
      </c>
      <c r="M5" s="343"/>
      <c r="N5" s="343"/>
      <c r="O5" s="343"/>
      <c r="P5" s="343"/>
      <c r="Q5" s="343"/>
      <c r="R5" s="343"/>
      <c r="S5" s="343"/>
      <c r="T5" s="343"/>
      <c r="U5" s="343"/>
    </row>
    <row r="6" spans="2:21" ht="35.25" customHeight="1">
      <c r="B6" s="372"/>
      <c r="C6" s="372"/>
      <c r="D6" s="372"/>
      <c r="E6" s="372"/>
      <c r="F6" s="372"/>
      <c r="G6" s="372"/>
      <c r="H6" s="372"/>
      <c r="I6" s="372"/>
      <c r="J6" s="372"/>
      <c r="K6" s="75"/>
      <c r="L6" s="349" t="s">
        <v>167</v>
      </c>
      <c r="M6" s="349"/>
      <c r="N6" s="349"/>
      <c r="O6" s="349"/>
      <c r="P6" s="349"/>
      <c r="Q6" s="349"/>
      <c r="R6" s="349"/>
      <c r="S6" s="349"/>
      <c r="T6" s="349"/>
      <c r="U6" s="349"/>
    </row>
    <row r="7" spans="2:21" ht="15.75" thickBot="1">
      <c r="B7" s="346" t="s">
        <v>159</v>
      </c>
      <c r="C7" s="346"/>
      <c r="D7" s="346"/>
      <c r="E7" s="346"/>
      <c r="F7" s="346"/>
      <c r="G7" s="346"/>
      <c r="H7" s="346"/>
      <c r="I7" s="346"/>
      <c r="J7" s="346"/>
      <c r="K7" s="346"/>
      <c r="L7" s="343"/>
      <c r="M7" s="343"/>
      <c r="N7" s="343"/>
      <c r="O7" s="343"/>
      <c r="P7" s="343"/>
      <c r="Q7" s="343"/>
      <c r="R7" s="343"/>
      <c r="S7" s="343"/>
      <c r="T7" s="343"/>
      <c r="U7" s="343"/>
    </row>
    <row r="8" spans="2:21" ht="88.5" customHeight="1" thickTop="1" thickBot="1">
      <c r="B8" s="373" t="s">
        <v>309</v>
      </c>
      <c r="C8" s="373"/>
      <c r="D8" s="373"/>
      <c r="E8" s="373"/>
      <c r="F8" s="373"/>
      <c r="G8" s="373"/>
      <c r="H8" s="373"/>
      <c r="I8" s="373"/>
      <c r="J8" s="373"/>
      <c r="L8" s="350" t="s">
        <v>146</v>
      </c>
      <c r="M8" s="350"/>
      <c r="N8" s="350"/>
      <c r="O8" s="350"/>
      <c r="P8" s="350"/>
      <c r="Q8" s="350"/>
      <c r="R8" s="350"/>
      <c r="S8" s="350"/>
      <c r="T8" s="350"/>
      <c r="U8" s="350"/>
    </row>
    <row r="9" spans="2:21" ht="15.75" thickTop="1">
      <c r="B9" s="374" t="s">
        <v>203</v>
      </c>
      <c r="C9" s="374"/>
      <c r="D9" s="374"/>
      <c r="E9" s="374"/>
      <c r="F9" s="374"/>
      <c r="G9" s="374"/>
      <c r="H9" s="374"/>
      <c r="I9" s="374"/>
      <c r="J9" s="374"/>
      <c r="L9" s="343"/>
      <c r="M9" s="343"/>
      <c r="N9" s="343"/>
      <c r="O9" s="343"/>
      <c r="P9" s="343"/>
      <c r="Q9" s="343"/>
      <c r="R9" s="343"/>
      <c r="S9" s="343"/>
      <c r="T9" s="343"/>
      <c r="U9" s="343"/>
    </row>
    <row r="10" spans="2:21">
      <c r="B10" s="379" t="s">
        <v>62</v>
      </c>
      <c r="C10" s="380"/>
      <c r="D10" s="380"/>
      <c r="E10" s="380"/>
      <c r="F10" s="380"/>
      <c r="G10" s="380"/>
      <c r="H10" s="380"/>
      <c r="I10" s="380"/>
      <c r="J10" s="380"/>
      <c r="L10" s="343" t="s">
        <v>6</v>
      </c>
      <c r="M10" s="343"/>
      <c r="N10" s="343"/>
      <c r="O10" s="343"/>
      <c r="P10" s="343"/>
      <c r="Q10" s="343"/>
      <c r="R10" s="343"/>
      <c r="S10" s="343"/>
      <c r="T10" s="343"/>
      <c r="U10" s="343"/>
    </row>
    <row r="11" spans="2:21">
      <c r="B11" s="380"/>
      <c r="C11" s="380"/>
      <c r="D11" s="380"/>
      <c r="E11" s="380"/>
      <c r="F11" s="380"/>
      <c r="G11" s="380"/>
      <c r="H11" s="380"/>
      <c r="I11" s="380"/>
      <c r="J11" s="380"/>
      <c r="L11" s="343"/>
      <c r="M11" s="343"/>
      <c r="N11" s="343"/>
      <c r="O11" s="343"/>
      <c r="P11" s="343"/>
      <c r="Q11" s="343"/>
      <c r="R11" s="343"/>
      <c r="S11" s="343"/>
      <c r="T11" s="343"/>
      <c r="U11" s="343"/>
    </row>
    <row r="12" spans="2:21" ht="15" customHeight="1">
      <c r="B12" s="381" t="s">
        <v>337</v>
      </c>
      <c r="C12" s="381"/>
      <c r="D12" s="381"/>
      <c r="E12" s="381"/>
      <c r="F12" s="381"/>
      <c r="G12" s="381"/>
      <c r="H12" s="381"/>
      <c r="I12" s="381"/>
      <c r="J12" s="381"/>
      <c r="L12" s="347" t="s">
        <v>36</v>
      </c>
      <c r="M12" s="347"/>
      <c r="N12" s="347"/>
      <c r="O12" s="347"/>
      <c r="P12" s="347"/>
      <c r="Q12" s="347"/>
      <c r="R12" s="347"/>
      <c r="S12" s="347"/>
      <c r="T12" s="347"/>
      <c r="U12" s="347"/>
    </row>
    <row r="13" spans="2:21" ht="16.5">
      <c r="B13" s="367"/>
      <c r="C13" s="367"/>
      <c r="D13" s="367"/>
      <c r="E13" s="367"/>
      <c r="F13" s="367"/>
      <c r="G13" s="367"/>
      <c r="H13" s="367"/>
      <c r="I13" s="367"/>
      <c r="J13" s="367"/>
      <c r="L13" s="347"/>
      <c r="M13" s="347"/>
      <c r="N13" s="347"/>
      <c r="O13" s="347"/>
      <c r="P13" s="347"/>
      <c r="Q13" s="347"/>
      <c r="R13" s="347"/>
      <c r="S13" s="347"/>
      <c r="T13" s="347"/>
      <c r="U13" s="347"/>
    </row>
    <row r="14" spans="2:21" ht="16.5">
      <c r="B14" s="368" t="s">
        <v>116</v>
      </c>
      <c r="C14" s="368"/>
      <c r="D14" s="368"/>
      <c r="E14" s="368"/>
      <c r="F14" s="368"/>
      <c r="G14" s="368"/>
      <c r="H14" s="368"/>
      <c r="I14" s="368"/>
      <c r="J14" s="368"/>
      <c r="L14" s="347"/>
      <c r="M14" s="347"/>
      <c r="N14" s="347"/>
      <c r="O14" s="347"/>
      <c r="P14" s="347"/>
      <c r="Q14" s="347"/>
      <c r="R14" s="347"/>
      <c r="S14" s="347"/>
      <c r="T14" s="347"/>
      <c r="U14" s="347"/>
    </row>
    <row r="15" spans="2:21" ht="18">
      <c r="B15" s="369" t="s">
        <v>160</v>
      </c>
      <c r="C15" s="369"/>
      <c r="D15" s="369"/>
      <c r="E15" s="369"/>
      <c r="F15" s="369"/>
      <c r="G15" s="369"/>
      <c r="H15" s="369"/>
      <c r="I15" s="369"/>
      <c r="J15" s="369"/>
      <c r="L15" s="347"/>
      <c r="M15" s="347"/>
      <c r="N15" s="347"/>
      <c r="O15" s="347"/>
      <c r="P15" s="347"/>
      <c r="Q15" s="347"/>
      <c r="R15" s="347"/>
      <c r="S15" s="347"/>
      <c r="T15" s="347"/>
      <c r="U15" s="347"/>
    </row>
    <row r="16" spans="2:21" ht="18">
      <c r="B16" s="369" t="s">
        <v>28</v>
      </c>
      <c r="C16" s="369"/>
      <c r="D16" s="369"/>
      <c r="E16" s="369"/>
      <c r="F16" s="369"/>
      <c r="G16" s="369"/>
      <c r="H16" s="369"/>
      <c r="I16" s="369"/>
      <c r="J16" s="369"/>
      <c r="L16" s="347"/>
      <c r="M16" s="347"/>
      <c r="N16" s="347"/>
      <c r="O16" s="347"/>
      <c r="P16" s="347"/>
      <c r="Q16" s="347"/>
      <c r="R16" s="347"/>
      <c r="S16" s="347"/>
      <c r="T16" s="347"/>
      <c r="U16" s="347"/>
    </row>
    <row r="17" spans="2:21">
      <c r="B17" s="343" t="s">
        <v>78</v>
      </c>
      <c r="C17" s="343"/>
      <c r="D17" s="343"/>
      <c r="E17" s="343"/>
      <c r="F17" s="343"/>
      <c r="G17" s="343"/>
      <c r="H17" s="343"/>
      <c r="I17" s="343"/>
      <c r="J17" s="343"/>
      <c r="L17" s="347"/>
      <c r="M17" s="347"/>
      <c r="N17" s="347"/>
      <c r="O17" s="347"/>
      <c r="P17" s="347"/>
      <c r="Q17" s="347"/>
      <c r="R17" s="347"/>
      <c r="S17" s="347"/>
      <c r="T17" s="347"/>
      <c r="U17" s="347"/>
    </row>
    <row r="18" spans="2:21">
      <c r="B18" s="370" t="s">
        <v>81</v>
      </c>
      <c r="C18" s="370"/>
      <c r="D18" s="370"/>
      <c r="E18" s="370"/>
      <c r="F18" s="370"/>
      <c r="G18" s="370"/>
      <c r="H18" s="370"/>
      <c r="I18" s="370"/>
      <c r="J18" s="370"/>
      <c r="L18" s="347"/>
      <c r="M18" s="347"/>
      <c r="N18" s="347"/>
      <c r="O18" s="347"/>
      <c r="P18" s="347"/>
      <c r="Q18" s="347"/>
      <c r="R18" s="347"/>
      <c r="S18" s="347"/>
      <c r="T18" s="347"/>
      <c r="U18" s="347"/>
    </row>
    <row r="19" spans="2:21">
      <c r="B19" s="370" t="s">
        <v>117</v>
      </c>
      <c r="C19" s="370"/>
      <c r="D19" s="370"/>
      <c r="E19" s="370"/>
      <c r="F19" s="370"/>
      <c r="G19" s="370"/>
      <c r="H19" s="370"/>
      <c r="I19" s="370"/>
      <c r="J19" s="370"/>
      <c r="L19" s="347"/>
      <c r="M19" s="347"/>
      <c r="N19" s="347"/>
      <c r="O19" s="347"/>
      <c r="P19" s="347"/>
      <c r="Q19" s="347"/>
      <c r="R19" s="347"/>
      <c r="S19" s="347"/>
      <c r="T19" s="347"/>
      <c r="U19" s="347"/>
    </row>
    <row r="20" spans="2:21" ht="15" customHeight="1">
      <c r="B20" s="343" t="s">
        <v>24</v>
      </c>
      <c r="C20" s="343"/>
      <c r="D20" s="343"/>
      <c r="E20" s="343"/>
      <c r="F20" s="343"/>
      <c r="G20" s="343"/>
      <c r="H20" s="343"/>
      <c r="I20" s="343"/>
      <c r="J20" s="343"/>
      <c r="L20" s="343"/>
      <c r="M20" s="343"/>
      <c r="N20" s="343"/>
      <c r="O20" s="343"/>
      <c r="P20" s="343"/>
      <c r="Q20" s="343"/>
      <c r="R20" s="343"/>
      <c r="S20" s="343"/>
      <c r="T20" s="343"/>
      <c r="U20" s="343"/>
    </row>
    <row r="21" spans="2:21">
      <c r="L21" s="343"/>
      <c r="M21" s="343"/>
      <c r="N21" s="343"/>
      <c r="O21" s="343"/>
      <c r="P21" s="343"/>
      <c r="Q21" s="343"/>
      <c r="R21" s="343"/>
      <c r="S21" s="343"/>
      <c r="T21" s="343"/>
      <c r="U21" s="343"/>
    </row>
    <row r="22" spans="2:21" ht="15" customHeight="1">
      <c r="B22" s="343"/>
      <c r="C22" s="343"/>
      <c r="D22" s="343"/>
      <c r="E22" s="343"/>
      <c r="F22" s="343"/>
      <c r="G22" s="343"/>
      <c r="H22" s="343"/>
      <c r="I22" s="343"/>
      <c r="J22" s="343"/>
      <c r="L22" s="344" t="s">
        <v>39</v>
      </c>
      <c r="M22" s="344"/>
      <c r="N22" s="344"/>
      <c r="O22" s="344"/>
      <c r="P22" s="344"/>
      <c r="Q22" s="344"/>
      <c r="R22" s="344"/>
      <c r="S22" s="344"/>
      <c r="T22" s="344"/>
      <c r="U22" s="344"/>
    </row>
    <row r="23" spans="2:21">
      <c r="B23" s="343" t="s">
        <v>40</v>
      </c>
      <c r="C23" s="343"/>
      <c r="D23" s="343"/>
      <c r="E23" s="343"/>
      <c r="F23" s="343"/>
      <c r="G23" s="343"/>
      <c r="H23" s="343"/>
      <c r="I23" s="343"/>
      <c r="J23" s="343"/>
      <c r="L23" s="344"/>
      <c r="M23" s="344"/>
      <c r="N23" s="344"/>
      <c r="O23" s="344"/>
      <c r="P23" s="344"/>
      <c r="Q23" s="344"/>
      <c r="R23" s="344"/>
      <c r="S23" s="344"/>
      <c r="T23" s="344"/>
      <c r="U23" s="344"/>
    </row>
    <row r="24" spans="2:21" ht="30" customHeight="1">
      <c r="B24" s="361" t="s">
        <v>294</v>
      </c>
      <c r="C24" s="362"/>
      <c r="D24" s="362"/>
      <c r="E24" s="362"/>
      <c r="F24" s="362"/>
      <c r="G24" s="362"/>
      <c r="H24" s="362"/>
      <c r="I24" s="362"/>
      <c r="J24" s="363"/>
      <c r="L24" s="344"/>
      <c r="M24" s="344"/>
      <c r="N24" s="344"/>
      <c r="O24" s="344"/>
      <c r="P24" s="344"/>
      <c r="Q24" s="344"/>
      <c r="R24" s="344"/>
      <c r="S24" s="344"/>
      <c r="T24" s="344"/>
      <c r="U24" s="344"/>
    </row>
    <row r="25" spans="2:21" ht="15.75" customHeight="1">
      <c r="B25" s="364"/>
      <c r="C25" s="365"/>
      <c r="D25" s="365"/>
      <c r="E25" s="365"/>
      <c r="F25" s="365"/>
      <c r="G25" s="365"/>
      <c r="H25" s="365"/>
      <c r="I25" s="365"/>
      <c r="J25" s="366"/>
      <c r="L25" s="344"/>
      <c r="M25" s="344"/>
      <c r="N25" s="344"/>
      <c r="O25" s="344"/>
      <c r="P25" s="344"/>
      <c r="Q25" s="344"/>
      <c r="R25" s="344"/>
      <c r="S25" s="344"/>
      <c r="T25" s="344"/>
      <c r="U25" s="344"/>
    </row>
    <row r="26" spans="2:21" ht="15.75">
      <c r="B26" s="354" t="s">
        <v>104</v>
      </c>
      <c r="C26" s="355"/>
      <c r="D26" s="355"/>
      <c r="E26" s="355"/>
      <c r="F26" s="355"/>
      <c r="G26" s="355"/>
      <c r="H26" s="355"/>
      <c r="I26" s="355"/>
      <c r="J26" s="356"/>
      <c r="L26" s="344"/>
      <c r="M26" s="344"/>
      <c r="N26" s="344"/>
      <c r="O26" s="344"/>
      <c r="P26" s="344"/>
      <c r="Q26" s="344"/>
      <c r="R26" s="344"/>
      <c r="S26" s="344"/>
      <c r="T26" s="344"/>
      <c r="U26" s="344"/>
    </row>
    <row r="27" spans="2:21">
      <c r="B27" s="357" t="s">
        <v>125</v>
      </c>
      <c r="C27" s="358"/>
      <c r="D27" s="358"/>
      <c r="E27" s="358"/>
      <c r="F27" s="358"/>
      <c r="G27" s="358"/>
      <c r="H27" s="358"/>
      <c r="I27" s="358"/>
      <c r="J27" s="359"/>
      <c r="L27" s="344"/>
      <c r="M27" s="344"/>
      <c r="N27" s="344"/>
      <c r="O27" s="344"/>
      <c r="P27" s="344"/>
      <c r="Q27" s="344"/>
      <c r="R27" s="344"/>
      <c r="S27" s="344"/>
      <c r="T27" s="344"/>
      <c r="U27" s="344"/>
    </row>
    <row r="28" spans="2:21">
      <c r="B28" s="360" t="s">
        <v>249</v>
      </c>
      <c r="C28" s="360"/>
      <c r="D28" s="360"/>
      <c r="E28" s="360"/>
      <c r="F28" s="360"/>
      <c r="G28" s="360"/>
      <c r="H28" s="360"/>
      <c r="I28" s="360"/>
      <c r="J28" s="360"/>
      <c r="L28" s="344"/>
      <c r="M28" s="344"/>
      <c r="N28" s="344"/>
      <c r="O28" s="344"/>
      <c r="P28" s="344"/>
      <c r="Q28" s="344"/>
      <c r="R28" s="344"/>
      <c r="S28" s="344"/>
      <c r="T28" s="344"/>
      <c r="U28" s="344"/>
    </row>
    <row r="29" spans="2:21">
      <c r="B29" s="343"/>
      <c r="C29" s="343"/>
      <c r="D29" s="343"/>
      <c r="E29" s="343"/>
      <c r="F29" s="343"/>
      <c r="G29" s="343"/>
      <c r="H29" s="343"/>
      <c r="I29" s="343"/>
      <c r="J29" s="343"/>
      <c r="L29" s="344"/>
      <c r="M29" s="344"/>
      <c r="N29" s="344"/>
      <c r="O29" s="344"/>
      <c r="P29" s="344"/>
      <c r="Q29" s="344"/>
      <c r="R29" s="344"/>
      <c r="S29" s="344"/>
      <c r="T29" s="344"/>
      <c r="U29" s="344"/>
    </row>
    <row r="30" spans="2:21">
      <c r="B30" s="343"/>
      <c r="C30" s="343"/>
      <c r="D30" s="343"/>
      <c r="E30" s="343"/>
      <c r="F30" s="343"/>
      <c r="G30" s="343"/>
      <c r="H30" s="343"/>
      <c r="I30" s="343"/>
      <c r="J30" s="343"/>
      <c r="L30" s="344"/>
      <c r="M30" s="344"/>
      <c r="N30" s="344"/>
      <c r="O30" s="344"/>
      <c r="P30" s="344"/>
      <c r="Q30" s="344"/>
      <c r="R30" s="344"/>
      <c r="S30" s="344"/>
      <c r="T30" s="344"/>
      <c r="U30" s="344"/>
    </row>
    <row r="31" spans="2:21">
      <c r="B31" s="343" t="s">
        <v>82</v>
      </c>
      <c r="C31" s="343"/>
      <c r="D31" s="343"/>
      <c r="E31" s="343"/>
      <c r="F31" s="343"/>
      <c r="G31" s="343"/>
      <c r="H31" s="343"/>
      <c r="I31" s="343"/>
      <c r="J31" s="343"/>
      <c r="L31" s="344"/>
      <c r="M31" s="344"/>
      <c r="N31" s="344"/>
      <c r="O31" s="344"/>
      <c r="P31" s="344"/>
      <c r="Q31" s="344"/>
      <c r="R31" s="344"/>
      <c r="S31" s="344"/>
      <c r="T31" s="344"/>
      <c r="U31" s="344"/>
    </row>
    <row r="32" spans="2:21">
      <c r="B32" s="343" t="s">
        <v>131</v>
      </c>
      <c r="C32" s="343"/>
      <c r="D32" s="343"/>
      <c r="E32" s="343"/>
      <c r="F32" s="343"/>
      <c r="G32" s="343"/>
      <c r="H32" s="343"/>
      <c r="I32" s="343"/>
      <c r="J32" s="343"/>
      <c r="L32" s="344"/>
      <c r="M32" s="344"/>
      <c r="N32" s="344"/>
      <c r="O32" s="344"/>
      <c r="P32" s="344"/>
      <c r="Q32" s="344"/>
      <c r="R32" s="344"/>
      <c r="S32" s="344"/>
      <c r="T32" s="344"/>
      <c r="U32" s="344"/>
    </row>
    <row r="34" spans="3:21">
      <c r="C34" s="377" t="s">
        <v>33</v>
      </c>
      <c r="D34" s="377"/>
      <c r="E34" s="35"/>
      <c r="G34" s="238" t="s">
        <v>118</v>
      </c>
    </row>
    <row r="35" spans="3:21">
      <c r="C35" s="377" t="s">
        <v>29</v>
      </c>
      <c r="D35" s="377"/>
      <c r="E35" s="35"/>
      <c r="G35" s="238" t="s">
        <v>119</v>
      </c>
    </row>
    <row r="36" spans="3:21">
      <c r="C36" s="377" t="s">
        <v>30</v>
      </c>
      <c r="D36" s="377"/>
      <c r="E36" s="35"/>
      <c r="G36" s="238" t="s">
        <v>120</v>
      </c>
    </row>
    <row r="37" spans="3:21">
      <c r="C37" s="377" t="s">
        <v>31</v>
      </c>
      <c r="D37" s="377"/>
      <c r="E37" s="35"/>
      <c r="G37" s="238" t="s">
        <v>121</v>
      </c>
      <c r="L37" s="343" t="s">
        <v>7</v>
      </c>
      <c r="M37" s="343"/>
      <c r="N37" s="343"/>
      <c r="O37" s="343"/>
      <c r="P37" s="343"/>
      <c r="Q37" s="343"/>
      <c r="R37" s="343"/>
      <c r="S37" s="343"/>
      <c r="T37" s="343"/>
      <c r="U37" s="343"/>
    </row>
    <row r="38" spans="3:21">
      <c r="C38" s="377" t="s">
        <v>32</v>
      </c>
      <c r="D38" s="377"/>
      <c r="E38" s="35"/>
      <c r="L38" s="343" t="s">
        <v>8</v>
      </c>
      <c r="M38" s="343"/>
      <c r="N38" s="343"/>
      <c r="O38" s="343"/>
      <c r="P38" s="343"/>
      <c r="Q38" s="343"/>
      <c r="R38" s="343"/>
      <c r="S38" s="343"/>
      <c r="T38" s="343"/>
      <c r="U38" s="343"/>
    </row>
    <row r="39" spans="3:21">
      <c r="L39" s="343" t="s">
        <v>9</v>
      </c>
      <c r="M39" s="343"/>
      <c r="N39" s="343"/>
      <c r="O39" s="343"/>
      <c r="P39" s="343"/>
      <c r="Q39" s="343"/>
      <c r="R39" s="343"/>
      <c r="S39" s="343"/>
      <c r="T39" s="343"/>
      <c r="U39" s="343"/>
    </row>
    <row r="40" spans="3:21">
      <c r="L40" s="343" t="s">
        <v>11</v>
      </c>
      <c r="M40" s="343"/>
      <c r="N40" s="343"/>
      <c r="O40" s="343"/>
      <c r="P40" s="343"/>
      <c r="Q40" s="343"/>
      <c r="R40" s="343"/>
      <c r="S40" s="343"/>
      <c r="T40" s="343"/>
      <c r="U40" s="343"/>
    </row>
    <row r="41" spans="3:21">
      <c r="E41" s="375" t="s">
        <v>149</v>
      </c>
      <c r="F41" s="376"/>
      <c r="G41" s="376"/>
      <c r="H41" s="376"/>
      <c r="I41" s="376"/>
      <c r="J41" s="376"/>
      <c r="L41" s="345" t="s">
        <v>18</v>
      </c>
      <c r="M41" s="343"/>
      <c r="N41" s="343"/>
      <c r="O41" s="343"/>
      <c r="P41" s="343"/>
      <c r="Q41" s="343"/>
      <c r="R41" s="343"/>
      <c r="S41" s="343"/>
      <c r="T41" s="343"/>
      <c r="U41" s="343"/>
    </row>
    <row r="42" spans="3:21">
      <c r="E42" s="376"/>
      <c r="F42" s="376"/>
      <c r="G42" s="376"/>
      <c r="H42" s="376"/>
      <c r="I42" s="376"/>
      <c r="J42" s="376"/>
      <c r="L42" s="343"/>
      <c r="M42" s="343"/>
      <c r="N42" s="343"/>
      <c r="O42" s="343"/>
      <c r="P42" s="343"/>
      <c r="Q42" s="343"/>
      <c r="R42" s="343"/>
      <c r="S42" s="343"/>
      <c r="T42" s="343"/>
      <c r="U42" s="343"/>
    </row>
    <row r="43" spans="3:21">
      <c r="E43" s="376"/>
      <c r="F43" s="376"/>
      <c r="G43" s="376"/>
      <c r="H43" s="376"/>
      <c r="I43" s="376"/>
      <c r="J43" s="376"/>
      <c r="L43" s="343"/>
      <c r="M43" s="343"/>
      <c r="N43" s="343"/>
      <c r="O43" s="343"/>
      <c r="P43" s="343"/>
      <c r="Q43" s="343"/>
      <c r="R43" s="343"/>
      <c r="S43" s="343"/>
      <c r="T43" s="343"/>
      <c r="U43" s="343"/>
    </row>
    <row r="44" spans="3:21">
      <c r="E44" s="376"/>
      <c r="F44" s="376"/>
      <c r="G44" s="376"/>
      <c r="H44" s="376"/>
      <c r="I44" s="376"/>
      <c r="J44" s="376"/>
    </row>
    <row r="45" spans="3:21">
      <c r="E45" s="376"/>
      <c r="F45" s="376"/>
      <c r="G45" s="376"/>
      <c r="H45" s="376"/>
      <c r="I45" s="376"/>
      <c r="J45" s="376"/>
      <c r="L45" s="343"/>
      <c r="M45" s="343"/>
      <c r="N45" s="343"/>
      <c r="O45" s="343"/>
      <c r="P45" s="343"/>
      <c r="Q45" s="343"/>
      <c r="R45" s="343"/>
      <c r="S45" s="343"/>
      <c r="T45" s="343"/>
      <c r="U45" s="343"/>
    </row>
    <row r="46" spans="3:21">
      <c r="E46" s="376"/>
      <c r="F46" s="376"/>
      <c r="G46" s="376"/>
      <c r="H46" s="376"/>
      <c r="I46" s="376"/>
      <c r="J46" s="376"/>
      <c r="L46" s="343"/>
      <c r="M46" s="343"/>
      <c r="N46" s="343"/>
      <c r="O46" s="343"/>
      <c r="P46" s="343"/>
      <c r="Q46" s="343"/>
      <c r="R46" s="343"/>
      <c r="S46" s="343"/>
      <c r="T46" s="343"/>
      <c r="U46" s="343"/>
    </row>
    <row r="47" spans="3:21">
      <c r="E47" s="376"/>
      <c r="F47" s="376"/>
      <c r="G47" s="376"/>
      <c r="H47" s="376"/>
      <c r="I47" s="376"/>
      <c r="J47" s="376"/>
      <c r="L47" s="343"/>
      <c r="M47" s="343"/>
      <c r="N47" s="343"/>
      <c r="O47" s="343"/>
      <c r="P47" s="343"/>
      <c r="Q47" s="343"/>
      <c r="R47" s="343"/>
      <c r="S47" s="343"/>
      <c r="T47" s="343"/>
      <c r="U47" s="343"/>
    </row>
    <row r="48" spans="3:21">
      <c r="E48" s="376"/>
      <c r="F48" s="376"/>
      <c r="G48" s="376"/>
      <c r="H48" s="376"/>
      <c r="I48" s="376"/>
      <c r="J48" s="376"/>
    </row>
    <row r="49" spans="5:10">
      <c r="E49" s="376"/>
      <c r="F49" s="376"/>
      <c r="G49" s="376"/>
      <c r="H49" s="376"/>
      <c r="I49" s="376"/>
      <c r="J49" s="376"/>
    </row>
    <row r="50" spans="5:10">
      <c r="E50" s="376"/>
      <c r="F50" s="376"/>
      <c r="G50" s="376"/>
      <c r="H50" s="376"/>
      <c r="I50" s="376"/>
      <c r="J50" s="376"/>
    </row>
  </sheetData>
  <mergeCells count="58">
    <mergeCell ref="B2:J2"/>
    <mergeCell ref="B4:J6"/>
    <mergeCell ref="B8:J8"/>
    <mergeCell ref="B9:J9"/>
    <mergeCell ref="E41:J50"/>
    <mergeCell ref="C34:D34"/>
    <mergeCell ref="C35:D35"/>
    <mergeCell ref="C36:D36"/>
    <mergeCell ref="C37:D37"/>
    <mergeCell ref="C38:D38"/>
    <mergeCell ref="B17:J17"/>
    <mergeCell ref="B18:J18"/>
    <mergeCell ref="B20:J20"/>
    <mergeCell ref="B3:J3"/>
    <mergeCell ref="B10:J11"/>
    <mergeCell ref="B12:J12"/>
    <mergeCell ref="B13:J13"/>
    <mergeCell ref="B14:J14"/>
    <mergeCell ref="B15:J15"/>
    <mergeCell ref="B16:J16"/>
    <mergeCell ref="B19:J19"/>
    <mergeCell ref="B32:J32"/>
    <mergeCell ref="B22:J22"/>
    <mergeCell ref="B23:J23"/>
    <mergeCell ref="B26:J26"/>
    <mergeCell ref="B27:J27"/>
    <mergeCell ref="B28:J28"/>
    <mergeCell ref="B29:J29"/>
    <mergeCell ref="B30:J30"/>
    <mergeCell ref="B31:J31"/>
    <mergeCell ref="B24:J25"/>
    <mergeCell ref="L9:U9"/>
    <mergeCell ref="L10:U10"/>
    <mergeCell ref="L11:U11"/>
    <mergeCell ref="L1:U1"/>
    <mergeCell ref="L5:U5"/>
    <mergeCell ref="L6:U6"/>
    <mergeCell ref="L7:U7"/>
    <mergeCell ref="L8:U8"/>
    <mergeCell ref="L2:U2"/>
    <mergeCell ref="L3:U3"/>
    <mergeCell ref="L4:U4"/>
    <mergeCell ref="B1:J1"/>
    <mergeCell ref="L22:U32"/>
    <mergeCell ref="L37:U37"/>
    <mergeCell ref="L47:U47"/>
    <mergeCell ref="L38:U38"/>
    <mergeCell ref="L39:U39"/>
    <mergeCell ref="L40:U40"/>
    <mergeCell ref="L41:U41"/>
    <mergeCell ref="L42:U42"/>
    <mergeCell ref="L43:U43"/>
    <mergeCell ref="B7:K7"/>
    <mergeCell ref="L45:U45"/>
    <mergeCell ref="L46:U46"/>
    <mergeCell ref="L20:U20"/>
    <mergeCell ref="L21:U21"/>
    <mergeCell ref="L12:U19"/>
  </mergeCells>
  <hyperlinks>
    <hyperlink ref="L41"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zoomScaleNormal="100" workbookViewId="0">
      <pane ySplit="1" topLeftCell="A2" activePane="bottomLeft" state="frozen"/>
      <selection pane="bottomLeft" activeCell="O3" sqref="O3"/>
    </sheetView>
  </sheetViews>
  <sheetFormatPr defaultColWidth="9.140625" defaultRowHeight="15"/>
  <cols>
    <col min="1" max="1" width="8.85546875" style="266" customWidth="1"/>
    <col min="2" max="2" width="6.28515625" style="266" customWidth="1"/>
    <col min="3" max="3" width="8.42578125" style="266" customWidth="1"/>
    <col min="4" max="4" width="6.42578125" style="266" customWidth="1"/>
    <col min="5" max="5" width="6.28515625" style="266" customWidth="1"/>
    <col min="6" max="6" width="9.140625" style="266" customWidth="1"/>
    <col min="7" max="7" width="7.42578125" style="266" customWidth="1"/>
    <col min="8" max="8" width="4.5703125" style="266" customWidth="1"/>
    <col min="9" max="9" width="18" style="266" customWidth="1"/>
    <col min="10" max="10" width="9.7109375" style="266" customWidth="1"/>
    <col min="11" max="11" width="67.42578125" style="266" customWidth="1"/>
    <col min="12" max="12" width="50.85546875" style="266" customWidth="1"/>
    <col min="13" max="13" width="15.5703125" style="266" customWidth="1"/>
    <col min="14" max="14" width="19.85546875" style="266" bestFit="1" customWidth="1"/>
    <col min="15" max="15" width="12.42578125" style="266" customWidth="1"/>
    <col min="16" max="16" width="5.140625" style="266" customWidth="1"/>
    <col min="17" max="16384" width="9.140625" style="266"/>
  </cols>
  <sheetData>
    <row r="1" spans="1:19" ht="58.5" customHeight="1" thickBot="1">
      <c r="A1" s="5" t="s">
        <v>12</v>
      </c>
      <c r="B1" s="282" t="s">
        <v>0</v>
      </c>
      <c r="C1" s="282" t="s">
        <v>58</v>
      </c>
      <c r="D1" s="282" t="s">
        <v>61</v>
      </c>
      <c r="E1" s="282" t="s">
        <v>53</v>
      </c>
      <c r="F1" s="282" t="s">
        <v>70</v>
      </c>
      <c r="G1" s="282" t="s">
        <v>1</v>
      </c>
      <c r="H1" s="282" t="s">
        <v>89</v>
      </c>
      <c r="I1" s="32" t="s">
        <v>21</v>
      </c>
      <c r="J1" s="280" t="s">
        <v>133</v>
      </c>
      <c r="K1" s="55" t="s">
        <v>157</v>
      </c>
      <c r="L1" s="20" t="s">
        <v>2</v>
      </c>
      <c r="M1" s="37"/>
      <c r="N1" s="38" t="s">
        <v>34</v>
      </c>
      <c r="O1" s="39">
        <f>SUM(B3:B33)</f>
        <v>50.25</v>
      </c>
      <c r="P1" s="382" t="s">
        <v>132</v>
      </c>
      <c r="Q1" s="383"/>
      <c r="R1" s="383"/>
      <c r="S1" s="383"/>
    </row>
    <row r="2" spans="1:19" ht="18" thickTop="1" thickBot="1">
      <c r="A2" s="266" t="s">
        <v>164</v>
      </c>
      <c r="B2" s="270">
        <f t="shared" ref="B2" si="0">SUM(B3:B33)</f>
        <v>50.25</v>
      </c>
      <c r="C2" s="270">
        <f>SUM(C3:C33)</f>
        <v>18.8</v>
      </c>
      <c r="D2" s="270">
        <f t="shared" ref="D2:H2" si="1">SUM(D3:D33)</f>
        <v>18.75</v>
      </c>
      <c r="E2" s="270">
        <f t="shared" si="1"/>
        <v>8</v>
      </c>
      <c r="F2" s="270">
        <f>SUM(F3:F34)</f>
        <v>24.75</v>
      </c>
      <c r="G2" s="270">
        <f t="shared" si="1"/>
        <v>64.5</v>
      </c>
      <c r="H2" s="270">
        <f t="shared" si="1"/>
        <v>9</v>
      </c>
      <c r="I2" s="16"/>
      <c r="J2" s="16">
        <f>SUM(J3:J33)/60</f>
        <v>4.6166666666666663</v>
      </c>
      <c r="K2" s="281">
        <f>SUM(E2:G2)</f>
        <v>97.25</v>
      </c>
      <c r="L2" s="270"/>
      <c r="M2" s="266" t="s">
        <v>13</v>
      </c>
      <c r="N2" s="252" t="s">
        <v>35</v>
      </c>
      <c r="O2" s="230">
        <f>SUM(O3:O4)</f>
        <v>143.80000000000001</v>
      </c>
      <c r="P2" s="266">
        <f>SUM(P3:P80)</f>
        <v>32</v>
      </c>
    </row>
    <row r="3" spans="1:19" ht="17.25" thickTop="1">
      <c r="A3" s="65">
        <v>46023</v>
      </c>
      <c r="B3" s="91">
        <v>4.75</v>
      </c>
      <c r="C3" s="93">
        <v>0.5</v>
      </c>
      <c r="D3" s="153">
        <v>3</v>
      </c>
      <c r="E3" s="154">
        <v>1.5</v>
      </c>
      <c r="F3" s="162">
        <v>1</v>
      </c>
      <c r="G3" s="156">
        <v>1.75</v>
      </c>
      <c r="H3" s="266">
        <v>1</v>
      </c>
      <c r="I3" s="59" t="s">
        <v>158</v>
      </c>
      <c r="J3" s="59">
        <v>25</v>
      </c>
      <c r="K3" s="62" t="s">
        <v>153</v>
      </c>
      <c r="L3" s="21"/>
      <c r="M3" s="56">
        <f>SUM(M4:M24)</f>
        <v>97.25</v>
      </c>
      <c r="N3" s="251" t="s">
        <v>15</v>
      </c>
      <c r="O3" s="251">
        <f>SUM(C3:E33)</f>
        <v>45.55</v>
      </c>
    </row>
    <row r="4" spans="1:19" ht="19.5" customHeight="1">
      <c r="A4" s="65">
        <v>46024</v>
      </c>
      <c r="B4" s="91">
        <v>7</v>
      </c>
      <c r="C4" s="93">
        <v>1</v>
      </c>
      <c r="D4" s="153">
        <v>0.5</v>
      </c>
      <c r="E4" s="157"/>
      <c r="F4" s="148">
        <v>0.5</v>
      </c>
      <c r="G4" s="158">
        <v>2</v>
      </c>
      <c r="H4" s="16">
        <v>1</v>
      </c>
      <c r="I4" s="16" t="s">
        <v>163</v>
      </c>
      <c r="J4" s="16">
        <v>35</v>
      </c>
      <c r="K4" s="62"/>
      <c r="L4" s="276" t="s">
        <v>151</v>
      </c>
      <c r="M4" s="271"/>
      <c r="N4" s="41" t="s">
        <v>90</v>
      </c>
      <c r="O4" s="41">
        <f>SUM(F3:H34)</f>
        <v>98.25</v>
      </c>
      <c r="P4" s="266">
        <v>8</v>
      </c>
    </row>
    <row r="5" spans="1:19" ht="16.5">
      <c r="A5" s="65">
        <v>46025</v>
      </c>
      <c r="B5" s="266">
        <v>4.5</v>
      </c>
      <c r="C5" s="93">
        <v>1</v>
      </c>
      <c r="D5" s="153">
        <v>1</v>
      </c>
      <c r="E5" s="157">
        <v>2.5</v>
      </c>
      <c r="F5" s="155">
        <v>1</v>
      </c>
      <c r="G5" s="163"/>
      <c r="H5" s="16">
        <v>2</v>
      </c>
      <c r="I5" s="16" t="s">
        <v>168</v>
      </c>
      <c r="J5" s="16">
        <v>21</v>
      </c>
      <c r="K5" s="62" t="s">
        <v>162</v>
      </c>
      <c r="L5" s="272" t="s">
        <v>172</v>
      </c>
      <c r="M5" s="273"/>
      <c r="N5" s="18" t="s">
        <v>19</v>
      </c>
      <c r="O5" s="18" t="s">
        <v>21</v>
      </c>
      <c r="P5" s="59"/>
    </row>
    <row r="6" spans="1:19" ht="16.5">
      <c r="A6" s="65">
        <v>46026</v>
      </c>
      <c r="B6" s="91">
        <v>7.25</v>
      </c>
      <c r="C6" s="93">
        <v>1.5</v>
      </c>
      <c r="D6" s="154">
        <v>1.25</v>
      </c>
      <c r="F6" s="148">
        <v>0.5</v>
      </c>
      <c r="G6" s="158">
        <v>0.75</v>
      </c>
      <c r="H6" s="16"/>
      <c r="I6" s="16" t="s">
        <v>170</v>
      </c>
      <c r="J6" s="16">
        <v>35</v>
      </c>
      <c r="K6" s="62"/>
      <c r="L6" s="276" t="s">
        <v>154</v>
      </c>
      <c r="M6" s="271">
        <v>1.5</v>
      </c>
      <c r="N6" s="45" t="s">
        <v>186</v>
      </c>
      <c r="O6" s="46" t="s">
        <v>187</v>
      </c>
    </row>
    <row r="7" spans="1:19" ht="16.5">
      <c r="A7" s="65">
        <v>46027</v>
      </c>
      <c r="B7" s="91">
        <v>3</v>
      </c>
      <c r="C7" s="93"/>
      <c r="D7" s="140"/>
      <c r="E7" s="157"/>
      <c r="F7" s="148"/>
      <c r="G7" s="158"/>
      <c r="H7" s="16"/>
      <c r="I7" s="16"/>
      <c r="J7" s="16">
        <v>15</v>
      </c>
      <c r="K7" s="62"/>
      <c r="L7" s="274" t="s">
        <v>169</v>
      </c>
      <c r="M7" s="275">
        <v>2.5</v>
      </c>
      <c r="N7" s="73" t="s">
        <v>189</v>
      </c>
      <c r="O7" s="48" t="s">
        <v>107</v>
      </c>
    </row>
    <row r="8" spans="1:19" ht="16.5">
      <c r="A8" s="65">
        <v>46028</v>
      </c>
      <c r="B8" s="91">
        <v>1.75</v>
      </c>
      <c r="C8" s="93"/>
      <c r="D8" s="140"/>
      <c r="F8" s="283">
        <v>0.75</v>
      </c>
      <c r="G8" s="256">
        <v>2</v>
      </c>
      <c r="I8" s="16" t="s">
        <v>180</v>
      </c>
      <c r="J8" s="16">
        <v>30</v>
      </c>
      <c r="K8" s="62"/>
      <c r="L8" s="276" t="s">
        <v>213</v>
      </c>
      <c r="M8" s="274"/>
      <c r="N8" s="266" t="s">
        <v>190</v>
      </c>
      <c r="O8" s="266" t="s">
        <v>192</v>
      </c>
      <c r="P8" s="266">
        <v>6</v>
      </c>
    </row>
    <row r="9" spans="1:19" ht="16.5">
      <c r="A9" s="65">
        <v>46029</v>
      </c>
      <c r="B9" s="91">
        <v>3</v>
      </c>
      <c r="C9" s="93">
        <v>0.5</v>
      </c>
      <c r="D9" s="140">
        <v>1.5</v>
      </c>
      <c r="E9" s="157"/>
      <c r="F9" s="148">
        <v>0.5</v>
      </c>
      <c r="G9" s="158"/>
      <c r="H9" s="16">
        <v>1</v>
      </c>
      <c r="I9" s="16"/>
      <c r="J9" s="16">
        <v>0</v>
      </c>
      <c r="K9" s="62" t="s">
        <v>176</v>
      </c>
      <c r="L9" s="274" t="s">
        <v>204</v>
      </c>
      <c r="M9" s="271">
        <v>4</v>
      </c>
      <c r="N9" s="48" t="s">
        <v>191</v>
      </c>
      <c r="O9" s="223" t="s">
        <v>193</v>
      </c>
    </row>
    <row r="10" spans="1:19" ht="16.5">
      <c r="A10" s="65">
        <v>46030</v>
      </c>
      <c r="B10" s="91">
        <v>2.5</v>
      </c>
      <c r="C10" s="93">
        <v>1.5</v>
      </c>
      <c r="D10" s="140"/>
      <c r="E10" s="16"/>
      <c r="F10" s="148">
        <v>0.75</v>
      </c>
      <c r="G10" s="158">
        <v>4</v>
      </c>
      <c r="H10" s="266">
        <v>0.5</v>
      </c>
      <c r="I10" s="16" t="s">
        <v>178</v>
      </c>
      <c r="J10" s="16">
        <v>11</v>
      </c>
      <c r="K10" s="62"/>
      <c r="L10" s="274"/>
      <c r="M10" s="271"/>
      <c r="N10" s="73" t="s">
        <v>188</v>
      </c>
      <c r="O10" s="48" t="s">
        <v>115</v>
      </c>
      <c r="P10" s="266">
        <v>6</v>
      </c>
    </row>
    <row r="11" spans="1:19" ht="16.5">
      <c r="A11" s="65">
        <v>46031</v>
      </c>
      <c r="B11" s="91">
        <v>0.5</v>
      </c>
      <c r="C11" s="93">
        <v>0.25</v>
      </c>
      <c r="D11" s="157"/>
      <c r="F11" s="148">
        <v>0.75</v>
      </c>
      <c r="G11" s="158">
        <v>6</v>
      </c>
      <c r="H11" s="270"/>
      <c r="I11" s="270"/>
      <c r="J11" s="270"/>
      <c r="K11" s="62" t="s">
        <v>177</v>
      </c>
      <c r="L11" s="274"/>
      <c r="M11" s="271"/>
      <c r="N11" s="266" t="s">
        <v>194</v>
      </c>
      <c r="O11" s="266" t="s">
        <v>98</v>
      </c>
      <c r="P11" s="266">
        <v>6</v>
      </c>
    </row>
    <row r="12" spans="1:19" ht="16.5">
      <c r="A12" s="65">
        <v>46032</v>
      </c>
      <c r="B12" s="91">
        <v>2</v>
      </c>
      <c r="C12" s="93">
        <v>3</v>
      </c>
      <c r="D12" s="16">
        <v>1.5</v>
      </c>
      <c r="E12" s="164"/>
      <c r="F12" s="148"/>
      <c r="G12" s="158">
        <v>5</v>
      </c>
      <c r="H12" s="270">
        <v>1</v>
      </c>
      <c r="I12" s="270" t="s">
        <v>181</v>
      </c>
      <c r="J12" s="270">
        <v>15</v>
      </c>
      <c r="K12" s="62" t="s">
        <v>182</v>
      </c>
      <c r="L12" s="274"/>
      <c r="M12" s="271"/>
      <c r="N12" s="73" t="s">
        <v>198</v>
      </c>
      <c r="O12" s="73" t="s">
        <v>197</v>
      </c>
    </row>
    <row r="13" spans="1:19" ht="16.5">
      <c r="A13" s="65">
        <v>46033</v>
      </c>
      <c r="B13" s="224">
        <v>1.5</v>
      </c>
      <c r="C13" s="16">
        <v>4</v>
      </c>
      <c r="D13" s="266">
        <v>4.5</v>
      </c>
      <c r="E13" s="16"/>
      <c r="F13" s="16"/>
      <c r="G13" s="16"/>
      <c r="H13" s="16">
        <v>1</v>
      </c>
      <c r="I13" s="16" t="s">
        <v>184</v>
      </c>
      <c r="J13" s="16">
        <v>22</v>
      </c>
      <c r="K13" s="16" t="s">
        <v>183</v>
      </c>
      <c r="L13" s="276"/>
      <c r="M13" s="271"/>
      <c r="N13" s="59" t="s">
        <v>195</v>
      </c>
      <c r="O13" s="59" t="s">
        <v>196</v>
      </c>
    </row>
    <row r="14" spans="1:19" ht="18" customHeight="1">
      <c r="A14" s="65">
        <v>46034</v>
      </c>
      <c r="B14" s="91"/>
      <c r="C14" s="93"/>
      <c r="D14" s="140"/>
      <c r="E14" s="159"/>
      <c r="F14" s="160"/>
      <c r="G14" s="161"/>
      <c r="H14" s="270"/>
      <c r="I14" s="270"/>
      <c r="J14" s="270"/>
      <c r="K14" s="62"/>
      <c r="L14" s="276"/>
      <c r="M14" s="271"/>
      <c r="N14" s="49" t="s">
        <v>87</v>
      </c>
      <c r="O14" s="49" t="s">
        <v>3</v>
      </c>
    </row>
    <row r="15" spans="1:19" ht="16.5">
      <c r="A15" s="65">
        <v>46035</v>
      </c>
      <c r="B15" s="91"/>
      <c r="C15" s="93"/>
      <c r="D15" s="140"/>
      <c r="E15" s="147"/>
      <c r="F15" s="148"/>
      <c r="G15" s="149"/>
      <c r="H15" s="270"/>
      <c r="I15" s="270"/>
      <c r="J15" s="270"/>
      <c r="K15" s="62"/>
      <c r="L15" s="276" t="s">
        <v>210</v>
      </c>
      <c r="M15" s="271">
        <v>16</v>
      </c>
      <c r="N15" s="49" t="s">
        <v>199</v>
      </c>
      <c r="O15" s="49" t="s">
        <v>88</v>
      </c>
    </row>
    <row r="16" spans="1:19" ht="16.5">
      <c r="A16" s="65">
        <v>46036</v>
      </c>
      <c r="B16" s="91">
        <v>0</v>
      </c>
      <c r="C16" s="93"/>
      <c r="D16" s="141"/>
      <c r="E16" s="147"/>
      <c r="F16" s="148"/>
      <c r="G16" s="149"/>
      <c r="H16" s="270"/>
      <c r="I16" s="270"/>
      <c r="J16" s="270"/>
      <c r="K16" s="62" t="s">
        <v>174</v>
      </c>
      <c r="L16" s="276" t="s">
        <v>209</v>
      </c>
      <c r="M16" s="271">
        <v>8</v>
      </c>
      <c r="N16" s="49" t="s">
        <v>200</v>
      </c>
      <c r="O16" s="49" t="s">
        <v>51</v>
      </c>
    </row>
    <row r="17" spans="1:16" ht="16.5">
      <c r="A17" s="65">
        <v>46037</v>
      </c>
      <c r="B17" s="91">
        <v>0</v>
      </c>
      <c r="C17" s="93"/>
      <c r="D17" s="142"/>
      <c r="E17" s="147"/>
      <c r="F17" s="148"/>
      <c r="G17" s="149"/>
      <c r="J17" s="59"/>
      <c r="K17" s="62" t="s">
        <v>175</v>
      </c>
      <c r="L17" s="274" t="s">
        <v>173</v>
      </c>
      <c r="M17" s="271">
        <v>1.75</v>
      </c>
      <c r="N17" s="266" t="s">
        <v>130</v>
      </c>
    </row>
    <row r="18" spans="1:16" ht="16.5">
      <c r="A18" s="65">
        <v>46038</v>
      </c>
      <c r="B18" s="91">
        <v>0</v>
      </c>
      <c r="C18" s="93"/>
      <c r="D18" s="140"/>
      <c r="E18" s="147"/>
      <c r="F18" s="148"/>
      <c r="G18" s="149"/>
      <c r="H18" s="270"/>
      <c r="I18" s="270"/>
      <c r="J18" s="270"/>
      <c r="K18" s="62" t="s">
        <v>175</v>
      </c>
      <c r="L18" s="276" t="s">
        <v>179</v>
      </c>
      <c r="M18" s="271">
        <v>7</v>
      </c>
      <c r="N18" s="72"/>
    </row>
    <row r="19" spans="1:16" ht="16.5">
      <c r="A19" s="65">
        <v>46039</v>
      </c>
      <c r="B19" s="91">
        <v>0</v>
      </c>
      <c r="C19" s="93"/>
      <c r="D19" s="140"/>
      <c r="E19" s="147"/>
      <c r="F19" s="148"/>
      <c r="G19" s="149"/>
      <c r="H19" s="270"/>
      <c r="I19" s="270"/>
      <c r="J19" s="270"/>
      <c r="K19" s="62" t="s">
        <v>175</v>
      </c>
      <c r="L19" s="274" t="s">
        <v>171</v>
      </c>
      <c r="M19" s="275">
        <v>0.5</v>
      </c>
      <c r="N19" s="211" t="s">
        <v>65</v>
      </c>
      <c r="O19" s="211">
        <v>10</v>
      </c>
      <c r="P19" s="268"/>
    </row>
    <row r="20" spans="1:16" ht="16.5">
      <c r="A20" s="65">
        <v>46040</v>
      </c>
      <c r="B20" s="91">
        <v>0</v>
      </c>
      <c r="C20" s="93"/>
      <c r="D20" s="143"/>
      <c r="E20" s="147"/>
      <c r="F20" s="148"/>
      <c r="G20" s="149"/>
      <c r="H20" s="270"/>
      <c r="I20" s="270"/>
      <c r="J20" s="270"/>
      <c r="K20" s="62" t="s">
        <v>175</v>
      </c>
      <c r="L20" s="277" t="s">
        <v>166</v>
      </c>
      <c r="M20" s="274">
        <v>15</v>
      </c>
      <c r="N20" s="211" t="s">
        <v>66</v>
      </c>
      <c r="O20" s="211">
        <v>20</v>
      </c>
      <c r="P20" s="268"/>
    </row>
    <row r="21" spans="1:16" ht="16.5">
      <c r="A21" s="65">
        <v>46041</v>
      </c>
      <c r="B21" s="91"/>
      <c r="C21" s="93"/>
      <c r="D21" s="140"/>
      <c r="E21" s="147"/>
      <c r="F21" s="148"/>
      <c r="G21" s="149"/>
      <c r="H21" s="270"/>
      <c r="I21" s="270"/>
      <c r="J21" s="270"/>
      <c r="K21" s="62"/>
      <c r="L21" s="278" t="s">
        <v>226</v>
      </c>
      <c r="M21" s="273">
        <v>29</v>
      </c>
      <c r="N21" s="211" t="s">
        <v>96</v>
      </c>
      <c r="O21" s="211">
        <v>30</v>
      </c>
      <c r="P21" s="267"/>
    </row>
    <row r="22" spans="1:16" ht="16.5">
      <c r="A22" s="65">
        <v>46042</v>
      </c>
      <c r="B22" s="91"/>
      <c r="C22" s="93"/>
      <c r="D22" s="140"/>
      <c r="E22" s="147"/>
      <c r="F22" s="148">
        <v>1</v>
      </c>
      <c r="G22" s="149"/>
      <c r="H22" s="270"/>
      <c r="I22" s="270"/>
      <c r="J22" s="270"/>
      <c r="K22" s="62"/>
      <c r="L22" s="278" t="s">
        <v>152</v>
      </c>
      <c r="M22" s="271">
        <v>0.5</v>
      </c>
      <c r="N22" s="212" t="s">
        <v>67</v>
      </c>
      <c r="O22" s="212">
        <v>20</v>
      </c>
      <c r="P22" s="267"/>
    </row>
    <row r="23" spans="1:16" ht="16.5">
      <c r="A23" s="65">
        <v>46043</v>
      </c>
      <c r="B23" s="91">
        <v>5</v>
      </c>
      <c r="C23" s="93">
        <v>0.3</v>
      </c>
      <c r="D23" s="140"/>
      <c r="E23" s="147"/>
      <c r="F23" s="148">
        <v>1</v>
      </c>
      <c r="G23" s="149">
        <v>5.5</v>
      </c>
      <c r="H23" s="270">
        <v>1</v>
      </c>
      <c r="I23" s="270" t="s">
        <v>228</v>
      </c>
      <c r="J23" s="270">
        <v>20</v>
      </c>
      <c r="K23" s="62" t="s">
        <v>185</v>
      </c>
      <c r="L23" s="279" t="s">
        <v>165</v>
      </c>
      <c r="M23" s="273">
        <v>2.5</v>
      </c>
      <c r="N23" s="212" t="s">
        <v>68</v>
      </c>
      <c r="O23" s="212">
        <v>10</v>
      </c>
      <c r="P23" s="267">
        <v>5</v>
      </c>
    </row>
    <row r="24" spans="1:16" ht="16.5">
      <c r="A24" s="65">
        <v>46044</v>
      </c>
      <c r="B24" s="91">
        <v>6.5</v>
      </c>
      <c r="C24" s="93">
        <v>0.75</v>
      </c>
      <c r="D24" s="140">
        <v>0.5</v>
      </c>
      <c r="E24" s="147"/>
      <c r="F24" s="148">
        <v>1</v>
      </c>
      <c r="G24" s="149">
        <v>1.5</v>
      </c>
      <c r="H24" s="270">
        <v>0.5</v>
      </c>
      <c r="I24" s="266" t="s">
        <v>229</v>
      </c>
      <c r="J24" s="266">
        <v>36</v>
      </c>
      <c r="K24" s="62" t="s">
        <v>201</v>
      </c>
      <c r="L24" s="279" t="s">
        <v>206</v>
      </c>
      <c r="M24" s="273">
        <v>9</v>
      </c>
      <c r="N24" s="212" t="s">
        <v>22</v>
      </c>
      <c r="O24" s="212">
        <v>15</v>
      </c>
      <c r="P24" s="267">
        <v>5</v>
      </c>
    </row>
    <row r="25" spans="1:16" ht="16.5">
      <c r="A25" s="65">
        <v>46045</v>
      </c>
      <c r="B25" s="91"/>
      <c r="C25" s="93"/>
      <c r="D25" s="140"/>
      <c r="E25" s="147"/>
      <c r="F25" s="148"/>
      <c r="G25" s="149">
        <v>3.5</v>
      </c>
      <c r="J25" s="59"/>
      <c r="K25" s="62" t="s">
        <v>202</v>
      </c>
      <c r="L25" s="174"/>
      <c r="M25" s="175"/>
      <c r="N25" s="214"/>
      <c r="O25" s="214"/>
      <c r="P25" s="266">
        <v>-4</v>
      </c>
    </row>
    <row r="26" spans="1:16" ht="16.5">
      <c r="A26" s="65">
        <v>46046</v>
      </c>
      <c r="B26" s="91"/>
      <c r="C26" s="93"/>
      <c r="D26" s="140"/>
      <c r="E26" s="147"/>
      <c r="F26" s="148"/>
      <c r="G26" s="149">
        <v>8</v>
      </c>
      <c r="H26" s="270"/>
      <c r="I26" s="270"/>
      <c r="J26" s="270"/>
      <c r="K26" s="62" t="s">
        <v>209</v>
      </c>
      <c r="L26" s="19"/>
      <c r="M26" s="12"/>
      <c r="N26" s="214" t="s">
        <v>98</v>
      </c>
      <c r="O26" s="214">
        <v>15</v>
      </c>
    </row>
    <row r="27" spans="1:16" ht="16.5">
      <c r="A27" s="65">
        <v>46047</v>
      </c>
      <c r="B27" s="91"/>
      <c r="C27" s="93"/>
      <c r="D27" s="144"/>
      <c r="E27" s="147"/>
      <c r="F27" s="148"/>
      <c r="G27" s="149">
        <v>8</v>
      </c>
      <c r="H27" s="270"/>
      <c r="I27" s="270"/>
      <c r="J27" s="270"/>
      <c r="K27" s="62" t="s">
        <v>212</v>
      </c>
      <c r="L27" s="270"/>
      <c r="N27" s="269" t="s">
        <v>69</v>
      </c>
      <c r="O27" s="269">
        <f>SUM(O19:O26)/60</f>
        <v>2</v>
      </c>
    </row>
    <row r="28" spans="1:16" ht="37.5" customHeight="1" thickBot="1">
      <c r="A28" s="65">
        <v>46048</v>
      </c>
      <c r="B28" s="264"/>
      <c r="C28" s="93"/>
      <c r="D28" s="145"/>
      <c r="E28" s="147"/>
      <c r="F28" s="148"/>
      <c r="G28" s="149">
        <v>8</v>
      </c>
      <c r="H28" s="270"/>
      <c r="I28" s="270"/>
      <c r="J28" s="270"/>
      <c r="K28" s="265" t="s">
        <v>211</v>
      </c>
      <c r="L28" s="249" t="s">
        <v>161</v>
      </c>
      <c r="M28" s="249"/>
      <c r="N28" s="249"/>
      <c r="O28" s="249"/>
      <c r="P28" s="249"/>
    </row>
    <row r="29" spans="1:16" ht="22.5" customHeight="1" thickTop="1" thickBot="1">
      <c r="A29" s="65">
        <v>46049</v>
      </c>
      <c r="B29" s="91"/>
      <c r="C29" s="93"/>
      <c r="D29" s="140">
        <v>1</v>
      </c>
      <c r="E29" s="147"/>
      <c r="F29" s="148"/>
      <c r="G29" s="149">
        <v>4</v>
      </c>
      <c r="H29" s="270"/>
      <c r="I29" s="270"/>
      <c r="J29" s="270"/>
      <c r="K29" s="62" t="s">
        <v>208</v>
      </c>
      <c r="L29" s="249"/>
      <c r="M29" s="249"/>
      <c r="N29" s="249"/>
      <c r="O29" s="249"/>
      <c r="P29" s="249"/>
    </row>
    <row r="30" spans="1:16" ht="21.75" customHeight="1" thickTop="1">
      <c r="A30" s="65">
        <v>46050</v>
      </c>
      <c r="B30" s="91"/>
      <c r="C30" s="93"/>
      <c r="D30" s="140">
        <v>0.5</v>
      </c>
      <c r="E30" s="147"/>
      <c r="F30" s="148"/>
      <c r="G30" s="149">
        <v>2</v>
      </c>
      <c r="H30" s="270"/>
      <c r="I30" s="270"/>
      <c r="J30" s="270"/>
      <c r="K30" s="62"/>
    </row>
    <row r="31" spans="1:16" ht="16.5">
      <c r="A31" s="65">
        <v>46051</v>
      </c>
      <c r="B31" s="91"/>
      <c r="C31" s="93"/>
      <c r="D31" s="140"/>
      <c r="E31" s="147"/>
      <c r="F31" s="148"/>
      <c r="G31" s="149">
        <v>2.5</v>
      </c>
      <c r="H31" s="270"/>
      <c r="I31" s="270"/>
      <c r="J31" s="270"/>
      <c r="K31" s="62" t="s">
        <v>207</v>
      </c>
    </row>
    <row r="32" spans="1:16" ht="16.5">
      <c r="A32" s="65">
        <v>46052</v>
      </c>
      <c r="B32" s="91"/>
      <c r="C32" s="93"/>
      <c r="D32" s="140">
        <v>1</v>
      </c>
      <c r="E32" s="147">
        <v>2</v>
      </c>
      <c r="F32" s="148"/>
      <c r="G32" s="149"/>
      <c r="H32" s="270"/>
      <c r="I32" s="270"/>
      <c r="J32" s="270"/>
      <c r="K32" s="62" t="s">
        <v>205</v>
      </c>
    </row>
    <row r="33" spans="1:17" ht="16.5">
      <c r="A33" s="65">
        <v>46053</v>
      </c>
      <c r="B33" s="91">
        <v>1</v>
      </c>
      <c r="C33" s="94">
        <v>4.5</v>
      </c>
      <c r="D33" s="146">
        <v>2.5</v>
      </c>
      <c r="E33" s="150">
        <v>2</v>
      </c>
      <c r="F33" s="151">
        <v>1</v>
      </c>
      <c r="G33" s="152"/>
      <c r="H33" s="270"/>
      <c r="I33" s="270"/>
      <c r="J33" s="270">
        <v>12</v>
      </c>
      <c r="K33" s="62" t="s">
        <v>227</v>
      </c>
      <c r="L33" s="270"/>
      <c r="P33" s="270"/>
    </row>
    <row r="34" spans="1:17" ht="16.5">
      <c r="A34" s="65"/>
      <c r="B34" s="270"/>
      <c r="C34" s="270"/>
      <c r="D34" s="270"/>
      <c r="E34" s="270"/>
      <c r="F34" s="34">
        <v>15</v>
      </c>
      <c r="G34" s="34"/>
      <c r="H34" s="270"/>
      <c r="I34" s="270"/>
      <c r="J34" s="270"/>
      <c r="K34" s="270" t="s">
        <v>155</v>
      </c>
      <c r="L34" s="266" t="s">
        <v>156</v>
      </c>
    </row>
    <row r="35" spans="1:17">
      <c r="A35" s="266" t="s">
        <v>17</v>
      </c>
      <c r="B35" s="266">
        <v>3</v>
      </c>
      <c r="N35" s="266" t="s">
        <v>134</v>
      </c>
      <c r="O35" s="266">
        <v>9.6</v>
      </c>
    </row>
    <row r="36" spans="1:17">
      <c r="N36" s="266" t="s">
        <v>127</v>
      </c>
      <c r="O36" s="266">
        <v>18</v>
      </c>
    </row>
    <row r="37" spans="1:17">
      <c r="N37" s="266" t="s">
        <v>135</v>
      </c>
      <c r="O37" s="266">
        <v>41</v>
      </c>
    </row>
    <row r="38" spans="1:17">
      <c r="N38" s="266" t="s">
        <v>136</v>
      </c>
      <c r="O38" s="266">
        <v>10</v>
      </c>
    </row>
    <row r="40" spans="1:17" ht="30">
      <c r="N40" s="1" t="s">
        <v>150</v>
      </c>
      <c r="O40" s="266">
        <f>SUM(O35:O38)</f>
        <v>78.599999999999994</v>
      </c>
    </row>
    <row r="41" spans="1:17">
      <c r="N41" s="343"/>
      <c r="O41" s="343"/>
      <c r="P41" s="343"/>
      <c r="Q41" s="343"/>
    </row>
    <row r="42" spans="1:17">
      <c r="N42" s="376"/>
      <c r="O42" s="376"/>
      <c r="P42" s="376"/>
      <c r="Q42" s="376"/>
    </row>
    <row r="43" spans="1:17">
      <c r="N43" s="266" t="s">
        <v>138</v>
      </c>
      <c r="O43" s="266" t="s">
        <v>139</v>
      </c>
      <c r="P43" s="266" t="s">
        <v>142</v>
      </c>
      <c r="Q43" s="266" t="s">
        <v>145</v>
      </c>
    </row>
    <row r="44" spans="1:17">
      <c r="N44" s="266" t="s">
        <v>140</v>
      </c>
      <c r="O44" s="266" t="s">
        <v>141</v>
      </c>
      <c r="P44" s="266" t="s">
        <v>144</v>
      </c>
      <c r="Q44" s="266" t="s">
        <v>143</v>
      </c>
    </row>
    <row r="55" spans="5:5">
      <c r="E55" s="15"/>
    </row>
    <row r="56" spans="5:5">
      <c r="E56" s="15"/>
    </row>
    <row r="58" spans="5:5">
      <c r="E58" s="15"/>
    </row>
  </sheetData>
  <mergeCells count="3">
    <mergeCell ref="P1:S1"/>
    <mergeCell ref="N41:Q41"/>
    <mergeCell ref="N42:Q42"/>
  </mergeCells>
  <conditionalFormatting sqref="B3:B4 B6:B33">
    <cfRule type="cellIs" dxfId="92" priority="2" operator="lessThan">
      <formula>$B$35</formula>
    </cfRule>
    <cfRule type="cellIs" dxfId="91" priority="3" operator="between">
      <formula>$B$35</formula>
      <formula>3</formula>
    </cfRule>
    <cfRule type="cellIs" dxfId="90" priority="4" operator="greaterThan">
      <formula>$B$35</formula>
    </cfRule>
  </conditionalFormatting>
  <conditionalFormatting sqref="A3:A34">
    <cfRule type="expression" dxfId="89" priority="1">
      <formula>WEEKDAY(A3,2)&gt;5</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workbookViewId="0">
      <selection activeCell="O2" sqref="O2"/>
    </sheetView>
  </sheetViews>
  <sheetFormatPr defaultRowHeight="15"/>
  <cols>
    <col min="1" max="1" width="10.85546875" customWidth="1"/>
    <col min="2" max="2" width="8.42578125" customWidth="1"/>
    <col min="3" max="3" width="9.5703125" customWidth="1"/>
    <col min="4" max="4" width="8.42578125" customWidth="1"/>
    <col min="5" max="5" width="11.5703125" customWidth="1"/>
    <col min="6" max="6" width="8.28515625" customWidth="1"/>
    <col min="8" max="8" width="6.5703125" customWidth="1"/>
    <col min="9" max="9" width="10.28515625" style="17" customWidth="1"/>
    <col min="10" max="10" width="14.5703125" style="288" customWidth="1"/>
    <col min="11" max="11" width="41.85546875" style="3" customWidth="1"/>
    <col min="12" max="12" width="61.42578125" customWidth="1"/>
    <col min="13" max="13" width="12.5703125" customWidth="1"/>
    <col min="14" max="14" width="19.85546875" bestFit="1" customWidth="1"/>
    <col min="15" max="15" width="14.28515625" customWidth="1"/>
  </cols>
  <sheetData>
    <row r="1" spans="1:17" ht="53.25" customHeight="1">
      <c r="A1" s="5" t="s">
        <v>12</v>
      </c>
      <c r="B1" s="286" t="s">
        <v>0</v>
      </c>
      <c r="C1" s="286" t="s">
        <v>58</v>
      </c>
      <c r="D1" s="286" t="s">
        <v>61</v>
      </c>
      <c r="E1" s="286" t="s">
        <v>53</v>
      </c>
      <c r="F1" s="286" t="s">
        <v>70</v>
      </c>
      <c r="G1" s="286" t="s">
        <v>1</v>
      </c>
      <c r="H1" s="286" t="s">
        <v>89</v>
      </c>
      <c r="I1" s="286" t="s">
        <v>133</v>
      </c>
      <c r="J1" s="55" t="s">
        <v>216</v>
      </c>
      <c r="L1" s="20" t="s">
        <v>2</v>
      </c>
      <c r="M1" s="8" t="s">
        <v>27</v>
      </c>
      <c r="N1" t="s">
        <v>14</v>
      </c>
      <c r="O1">
        <f>SUM(B3:B30)</f>
        <v>36</v>
      </c>
      <c r="P1" s="384" t="s">
        <v>218</v>
      </c>
      <c r="Q1" s="384"/>
    </row>
    <row r="2" spans="1:17" ht="16.5">
      <c r="B2" s="9">
        <f>SUM(B3:B31)</f>
        <v>36</v>
      </c>
      <c r="C2" s="285">
        <f t="shared" ref="C2" si="0">SUM(C3:C31)</f>
        <v>10.75</v>
      </c>
      <c r="D2" s="285">
        <f>SUM(D3:D31)</f>
        <v>16</v>
      </c>
      <c r="E2" s="285">
        <f t="shared" ref="E2:H2" si="1">SUM(E3:E31)</f>
        <v>11.75</v>
      </c>
      <c r="F2" s="285">
        <f t="shared" si="1"/>
        <v>29.5</v>
      </c>
      <c r="G2" s="285">
        <f t="shared" si="1"/>
        <v>16.75</v>
      </c>
      <c r="H2" s="285">
        <f t="shared" si="1"/>
        <v>4</v>
      </c>
      <c r="I2" s="9">
        <f>SUM(I3:I30)/60</f>
        <v>2.6333333333333333</v>
      </c>
      <c r="J2" s="289"/>
      <c r="K2" s="287">
        <f>SUM(E2:G2)</f>
        <v>58</v>
      </c>
      <c r="L2" s="9"/>
      <c r="M2" s="3" t="s">
        <v>13</v>
      </c>
      <c r="N2" s="3" t="s">
        <v>15</v>
      </c>
      <c r="O2" s="3">
        <f>SUM(C3:E30)</f>
        <v>38.5</v>
      </c>
      <c r="P2" s="384"/>
      <c r="Q2" s="384"/>
    </row>
    <row r="3" spans="1:17" ht="16.5">
      <c r="A3" s="10">
        <v>46054</v>
      </c>
      <c r="B3" s="286">
        <v>4.5</v>
      </c>
      <c r="C3" s="16">
        <v>1.25</v>
      </c>
      <c r="F3">
        <v>1</v>
      </c>
      <c r="G3">
        <v>1</v>
      </c>
      <c r="H3" s="9"/>
      <c r="I3" s="9">
        <v>21</v>
      </c>
      <c r="J3" s="9" t="s">
        <v>217</v>
      </c>
      <c r="L3" s="21" t="s">
        <v>25</v>
      </c>
      <c r="M3" s="29">
        <f>SUM(M4:M23)</f>
        <v>57.5</v>
      </c>
      <c r="N3" s="3" t="s">
        <v>16</v>
      </c>
      <c r="O3" s="3">
        <f>SUM(F3:H30)</f>
        <v>35.25</v>
      </c>
      <c r="P3" s="3"/>
    </row>
    <row r="4" spans="1:17" ht="16.5">
      <c r="A4" s="10">
        <v>46055</v>
      </c>
      <c r="B4" s="286">
        <v>1</v>
      </c>
      <c r="C4" s="16"/>
      <c r="D4" s="16">
        <v>0.5</v>
      </c>
      <c r="E4" s="16"/>
      <c r="F4" s="16"/>
      <c r="G4" s="9">
        <v>0.5</v>
      </c>
      <c r="H4" s="9"/>
      <c r="I4" s="9">
        <v>15</v>
      </c>
      <c r="J4" s="289" t="s">
        <v>233</v>
      </c>
      <c r="K4" s="9"/>
      <c r="L4" s="286" t="s">
        <v>219</v>
      </c>
      <c r="M4" s="286">
        <v>6.5</v>
      </c>
      <c r="N4" s="3"/>
      <c r="O4" s="3"/>
      <c r="P4" s="3">
        <v>-1</v>
      </c>
    </row>
    <row r="5" spans="1:17" ht="16.5">
      <c r="A5" s="10">
        <v>46056</v>
      </c>
      <c r="B5" s="286">
        <v>0.75</v>
      </c>
      <c r="C5" s="16"/>
      <c r="D5" s="16"/>
      <c r="E5" s="16">
        <v>1.5</v>
      </c>
      <c r="F5" s="16"/>
      <c r="G5" s="9"/>
      <c r="H5" s="9"/>
      <c r="I5" s="9">
        <v>15</v>
      </c>
      <c r="J5" s="289" t="s">
        <v>234</v>
      </c>
      <c r="K5" s="9" t="s">
        <v>223</v>
      </c>
      <c r="L5" s="286" t="s">
        <v>252</v>
      </c>
      <c r="M5" s="286"/>
      <c r="N5" s="3"/>
      <c r="O5" s="3"/>
      <c r="P5" s="3"/>
    </row>
    <row r="6" spans="1:17" ht="16.5">
      <c r="A6" s="10">
        <v>46057</v>
      </c>
      <c r="B6" s="286">
        <v>0.75</v>
      </c>
      <c r="C6" s="16"/>
      <c r="D6" s="16"/>
      <c r="E6" s="16">
        <v>1.5</v>
      </c>
      <c r="F6" s="16"/>
      <c r="G6" s="9"/>
      <c r="H6" s="9"/>
      <c r="I6" s="9"/>
      <c r="J6" s="289"/>
      <c r="K6" s="9" t="s">
        <v>222</v>
      </c>
      <c r="L6" s="286" t="s">
        <v>197</v>
      </c>
      <c r="M6" s="286">
        <v>1</v>
      </c>
      <c r="N6" s="18" t="s">
        <v>19</v>
      </c>
      <c r="O6" s="18" t="s">
        <v>21</v>
      </c>
      <c r="P6" s="3"/>
    </row>
    <row r="7" spans="1:17" ht="16.5">
      <c r="A7" s="10">
        <v>46058</v>
      </c>
      <c r="B7" s="286"/>
      <c r="C7" s="16"/>
      <c r="D7" s="16"/>
      <c r="E7" s="16"/>
      <c r="F7" s="16"/>
      <c r="G7" s="9"/>
      <c r="H7" s="9"/>
      <c r="I7" s="9"/>
      <c r="J7" s="289"/>
      <c r="K7" s="9"/>
      <c r="L7" s="286" t="s">
        <v>255</v>
      </c>
      <c r="M7" s="286">
        <v>0.5</v>
      </c>
      <c r="N7" s="45" t="s">
        <v>186</v>
      </c>
      <c r="O7" s="46" t="s">
        <v>237</v>
      </c>
      <c r="P7" s="3"/>
    </row>
    <row r="8" spans="1:17" ht="16.5">
      <c r="A8" s="10">
        <v>46059</v>
      </c>
      <c r="B8" s="286"/>
      <c r="C8" s="16"/>
      <c r="D8" s="16"/>
      <c r="E8" s="16"/>
      <c r="F8" s="16"/>
      <c r="G8" s="9"/>
      <c r="H8" s="9"/>
      <c r="I8" s="9"/>
      <c r="J8" s="289"/>
      <c r="K8" s="14"/>
      <c r="L8" s="286"/>
      <c r="M8" s="286"/>
      <c r="N8" s="73" t="s">
        <v>189</v>
      </c>
      <c r="O8" s="48" t="s">
        <v>107</v>
      </c>
      <c r="P8" s="3">
        <v>-3</v>
      </c>
    </row>
    <row r="9" spans="1:17" ht="16.5">
      <c r="A9" s="10">
        <v>46060</v>
      </c>
      <c r="B9" s="286"/>
      <c r="C9" s="16">
        <v>0.5</v>
      </c>
      <c r="D9" s="16">
        <v>1.5</v>
      </c>
      <c r="E9" s="16">
        <v>2.75</v>
      </c>
      <c r="F9" s="16">
        <v>1.5</v>
      </c>
      <c r="G9" s="9">
        <v>4</v>
      </c>
      <c r="H9" s="9"/>
      <c r="I9" s="9"/>
      <c r="J9" s="289"/>
      <c r="K9" s="9" t="s">
        <v>220</v>
      </c>
      <c r="L9" s="286"/>
      <c r="M9" s="286"/>
      <c r="N9" s="284" t="s">
        <v>190</v>
      </c>
      <c r="O9" s="284" t="s">
        <v>192</v>
      </c>
      <c r="P9" s="3"/>
    </row>
    <row r="10" spans="1:17" ht="16.5">
      <c r="A10" s="10">
        <v>46061</v>
      </c>
      <c r="B10" s="286">
        <v>0.5</v>
      </c>
      <c r="C10" s="16">
        <v>5</v>
      </c>
      <c r="D10" s="16">
        <v>1.5</v>
      </c>
      <c r="E10" s="16"/>
      <c r="F10" s="16">
        <v>1</v>
      </c>
      <c r="G10" s="9">
        <v>0.5</v>
      </c>
      <c r="H10" s="9"/>
      <c r="I10" s="9">
        <v>5</v>
      </c>
      <c r="J10" s="289" t="s">
        <v>232</v>
      </c>
      <c r="K10" s="9" t="s">
        <v>235</v>
      </c>
      <c r="L10" s="286"/>
      <c r="M10" s="286"/>
      <c r="N10" s="48" t="s">
        <v>191</v>
      </c>
      <c r="O10" s="223" t="s">
        <v>193</v>
      </c>
      <c r="P10" s="3"/>
    </row>
    <row r="11" spans="1:17" ht="16.5">
      <c r="A11" s="10">
        <v>46062</v>
      </c>
      <c r="B11" s="286"/>
      <c r="C11" s="16">
        <v>1</v>
      </c>
      <c r="D11" s="16">
        <v>4</v>
      </c>
      <c r="E11" s="16"/>
      <c r="F11" s="16"/>
      <c r="G11" s="9"/>
      <c r="H11" s="9"/>
      <c r="I11" s="9">
        <v>8</v>
      </c>
      <c r="J11" s="289" t="s">
        <v>245</v>
      </c>
      <c r="K11" s="9" t="s">
        <v>224</v>
      </c>
      <c r="L11" s="286"/>
      <c r="M11" s="286"/>
      <c r="N11" s="73" t="s">
        <v>188</v>
      </c>
      <c r="O11" s="48" t="s">
        <v>115</v>
      </c>
      <c r="P11" s="3"/>
    </row>
    <row r="12" spans="1:17" ht="16.5">
      <c r="A12" s="10">
        <v>46063</v>
      </c>
      <c r="B12" s="286">
        <v>1.5</v>
      </c>
      <c r="C12" s="16"/>
      <c r="D12">
        <v>2</v>
      </c>
      <c r="F12">
        <v>0.5</v>
      </c>
      <c r="I12" s="17">
        <v>40</v>
      </c>
      <c r="J12" s="288" t="s">
        <v>246</v>
      </c>
      <c r="K12" s="3" t="s">
        <v>225</v>
      </c>
      <c r="L12" s="286"/>
      <c r="M12" s="286"/>
      <c r="N12" s="284" t="s">
        <v>194</v>
      </c>
      <c r="O12" s="284" t="s">
        <v>98</v>
      </c>
      <c r="P12" s="3">
        <v>3</v>
      </c>
    </row>
    <row r="13" spans="1:17" ht="16.5">
      <c r="A13" s="10">
        <v>46064</v>
      </c>
      <c r="B13" s="286">
        <v>0</v>
      </c>
      <c r="C13" s="16"/>
      <c r="D13" s="16">
        <v>1.5</v>
      </c>
      <c r="E13" s="16"/>
      <c r="F13" s="16">
        <v>0.5</v>
      </c>
      <c r="G13" s="9">
        <v>2</v>
      </c>
      <c r="H13" s="9"/>
      <c r="I13" s="9"/>
      <c r="J13" s="289"/>
      <c r="K13" s="9" t="s">
        <v>236</v>
      </c>
      <c r="L13" s="286" t="s">
        <v>253</v>
      </c>
      <c r="M13" s="286">
        <v>3.5</v>
      </c>
      <c r="N13" s="73" t="s">
        <v>198</v>
      </c>
      <c r="O13" s="73" t="s">
        <v>197</v>
      </c>
      <c r="P13" s="3"/>
    </row>
    <row r="14" spans="1:17" ht="34.5" customHeight="1">
      <c r="A14" s="10">
        <v>46065</v>
      </c>
      <c r="B14" s="286"/>
      <c r="C14" s="16"/>
      <c r="D14" s="16"/>
      <c r="E14" s="16"/>
      <c r="F14" s="16"/>
      <c r="G14" s="9"/>
      <c r="H14" s="9"/>
      <c r="I14" s="9"/>
      <c r="J14" s="289"/>
      <c r="K14" s="290" t="s">
        <v>239</v>
      </c>
      <c r="L14" s="286" t="s">
        <v>292</v>
      </c>
      <c r="M14" s="286">
        <v>2.75</v>
      </c>
      <c r="N14" s="59" t="s">
        <v>195</v>
      </c>
      <c r="O14" s="59" t="s">
        <v>196</v>
      </c>
      <c r="P14" s="3"/>
    </row>
    <row r="15" spans="1:17" ht="16.5">
      <c r="A15" s="10">
        <v>46066</v>
      </c>
      <c r="B15" s="286">
        <v>3</v>
      </c>
      <c r="C15" s="16"/>
      <c r="D15" s="16">
        <v>0.5</v>
      </c>
      <c r="E15" s="16">
        <v>0.5</v>
      </c>
      <c r="F15" s="16"/>
      <c r="G15" s="9">
        <v>1</v>
      </c>
      <c r="H15" s="9"/>
      <c r="I15" s="9"/>
      <c r="J15" s="289"/>
      <c r="K15" s="290" t="s">
        <v>135</v>
      </c>
      <c r="L15" s="286" t="s">
        <v>231</v>
      </c>
      <c r="M15" s="286">
        <v>5.75</v>
      </c>
      <c r="N15" s="49" t="s">
        <v>87</v>
      </c>
      <c r="O15" s="49" t="s">
        <v>3</v>
      </c>
      <c r="P15" s="3"/>
    </row>
    <row r="16" spans="1:17" ht="16.5">
      <c r="A16" s="10">
        <v>46067</v>
      </c>
      <c r="B16" s="286"/>
      <c r="C16" s="16"/>
      <c r="D16" s="16"/>
      <c r="E16" s="16"/>
      <c r="F16" s="16"/>
      <c r="G16" s="9"/>
      <c r="H16" s="9"/>
      <c r="I16" s="9"/>
      <c r="J16" s="289"/>
      <c r="K16" s="290" t="s">
        <v>239</v>
      </c>
      <c r="L16" s="286" t="s">
        <v>230</v>
      </c>
      <c r="M16" s="286">
        <v>1.75</v>
      </c>
      <c r="N16" s="49" t="s">
        <v>199</v>
      </c>
      <c r="O16" s="49" t="s">
        <v>88</v>
      </c>
      <c r="P16" s="3"/>
    </row>
    <row r="17" spans="1:16" ht="16.5">
      <c r="A17" s="10">
        <v>46068</v>
      </c>
      <c r="B17" s="286"/>
      <c r="C17" s="16"/>
      <c r="D17" s="16"/>
      <c r="E17" s="16"/>
      <c r="F17" s="16"/>
      <c r="G17" s="9"/>
      <c r="H17" s="9"/>
      <c r="I17" s="9"/>
      <c r="J17" s="289"/>
      <c r="K17" s="290" t="s">
        <v>239</v>
      </c>
      <c r="L17" s="286" t="s">
        <v>152</v>
      </c>
      <c r="M17" s="286">
        <v>1</v>
      </c>
      <c r="N17" s="49" t="s">
        <v>200</v>
      </c>
      <c r="O17" s="49" t="s">
        <v>51</v>
      </c>
      <c r="P17" s="3"/>
    </row>
    <row r="18" spans="1:16" ht="33">
      <c r="A18" s="10">
        <v>46069</v>
      </c>
      <c r="B18" s="286"/>
      <c r="C18" s="16"/>
      <c r="D18" s="16"/>
      <c r="E18" s="16"/>
      <c r="F18" s="16"/>
      <c r="G18" s="9"/>
      <c r="H18" s="9"/>
      <c r="I18" s="9"/>
      <c r="J18" s="289"/>
      <c r="K18" s="290" t="s">
        <v>239</v>
      </c>
      <c r="L18" s="286" t="s">
        <v>242</v>
      </c>
      <c r="M18" s="286">
        <v>4.25</v>
      </c>
      <c r="N18" s="284" t="s">
        <v>130</v>
      </c>
      <c r="O18" s="284"/>
      <c r="P18" s="3"/>
    </row>
    <row r="19" spans="1:16" ht="16.5">
      <c r="A19" s="10">
        <v>46070</v>
      </c>
      <c r="B19" s="286"/>
      <c r="C19" s="16"/>
      <c r="D19" s="16"/>
      <c r="E19" s="16"/>
      <c r="F19" s="16">
        <v>1</v>
      </c>
      <c r="G19" s="9">
        <v>3</v>
      </c>
      <c r="H19" s="9"/>
      <c r="I19" s="9"/>
      <c r="J19" s="289"/>
      <c r="K19" s="290" t="s">
        <v>243</v>
      </c>
      <c r="L19" s="286" t="s">
        <v>221</v>
      </c>
      <c r="M19" s="286">
        <v>2</v>
      </c>
      <c r="N19" s="72"/>
      <c r="O19" s="284"/>
      <c r="P19" s="2"/>
    </row>
    <row r="20" spans="1:16" ht="16.5">
      <c r="A20" s="10">
        <v>46071</v>
      </c>
      <c r="B20" s="286"/>
      <c r="C20" s="16"/>
      <c r="D20" s="16"/>
      <c r="E20" s="16">
        <v>1.5</v>
      </c>
      <c r="F20" s="9">
        <v>1.5</v>
      </c>
      <c r="G20" s="9"/>
      <c r="H20" s="9"/>
      <c r="I20" s="9"/>
      <c r="J20" s="289"/>
      <c r="K20" s="290" t="s">
        <v>240</v>
      </c>
      <c r="L20" s="286" t="s">
        <v>215</v>
      </c>
      <c r="M20" s="286">
        <v>5</v>
      </c>
      <c r="N20" s="211" t="s">
        <v>65</v>
      </c>
      <c r="O20" s="211">
        <v>10</v>
      </c>
      <c r="P20" s="2"/>
    </row>
    <row r="21" spans="1:16" ht="16.5">
      <c r="A21" s="10">
        <v>46072</v>
      </c>
      <c r="B21" s="286">
        <v>1</v>
      </c>
      <c r="C21" s="16"/>
      <c r="D21" s="16">
        <v>0.5</v>
      </c>
      <c r="E21" s="16"/>
      <c r="F21" s="9">
        <v>1.75</v>
      </c>
      <c r="G21" s="9">
        <v>0.25</v>
      </c>
      <c r="H21" s="9">
        <v>0.5</v>
      </c>
      <c r="I21" s="9"/>
      <c r="J21" s="289"/>
      <c r="K21" s="9" t="s">
        <v>238</v>
      </c>
      <c r="L21" s="286" t="s">
        <v>241</v>
      </c>
      <c r="M21" s="286">
        <v>8.5</v>
      </c>
      <c r="N21" s="211" t="s">
        <v>66</v>
      </c>
      <c r="O21" s="211">
        <v>20</v>
      </c>
      <c r="P21" s="4"/>
    </row>
    <row r="22" spans="1:16" ht="16.5">
      <c r="A22" s="10">
        <v>46073</v>
      </c>
      <c r="B22" s="286">
        <v>2</v>
      </c>
      <c r="C22" s="16"/>
      <c r="D22" s="16">
        <v>0.75</v>
      </c>
      <c r="E22" s="16">
        <v>2</v>
      </c>
      <c r="F22" s="9"/>
      <c r="G22" s="9"/>
      <c r="H22" s="9"/>
      <c r="I22" s="9">
        <v>19</v>
      </c>
      <c r="J22" s="289" t="s">
        <v>247</v>
      </c>
      <c r="K22" s="9" t="s">
        <v>244</v>
      </c>
      <c r="L22" s="285" t="s">
        <v>214</v>
      </c>
      <c r="M22" s="286">
        <v>15</v>
      </c>
      <c r="N22" s="211" t="s">
        <v>96</v>
      </c>
      <c r="O22" s="211">
        <v>30</v>
      </c>
      <c r="P22" s="4"/>
    </row>
    <row r="23" spans="1:16" ht="33">
      <c r="A23" s="10">
        <v>46074</v>
      </c>
      <c r="B23" s="286">
        <v>7</v>
      </c>
      <c r="C23" s="16">
        <v>1.75</v>
      </c>
      <c r="D23" s="16">
        <v>0.5</v>
      </c>
      <c r="E23" s="16"/>
      <c r="F23" s="9">
        <v>2</v>
      </c>
      <c r="G23" s="9"/>
      <c r="H23" s="9"/>
      <c r="I23" s="9"/>
      <c r="J23" s="289" t="s">
        <v>289</v>
      </c>
      <c r="K23" s="5" t="s">
        <v>248</v>
      </c>
      <c r="L23" s="286"/>
      <c r="M23" s="12"/>
      <c r="N23" s="212" t="s">
        <v>67</v>
      </c>
      <c r="O23" s="212">
        <v>20</v>
      </c>
      <c r="P23" s="4"/>
    </row>
    <row r="24" spans="1:16" ht="16.5">
      <c r="A24" s="10">
        <v>46075</v>
      </c>
      <c r="B24" s="286">
        <v>7</v>
      </c>
      <c r="C24" s="16">
        <v>1</v>
      </c>
      <c r="D24" s="16">
        <v>0.5</v>
      </c>
      <c r="E24" s="16">
        <v>0.5</v>
      </c>
      <c r="F24" s="9">
        <v>1.5</v>
      </c>
      <c r="G24" s="9">
        <v>1</v>
      </c>
      <c r="H24" s="9"/>
      <c r="I24" s="9">
        <v>35</v>
      </c>
      <c r="J24" s="289" t="s">
        <v>251</v>
      </c>
      <c r="K24" s="9" t="s">
        <v>250</v>
      </c>
      <c r="L24" s="23"/>
      <c r="M24" s="12"/>
      <c r="N24" s="212" t="s">
        <v>68</v>
      </c>
      <c r="O24" s="212">
        <v>10</v>
      </c>
    </row>
    <row r="25" spans="1:16" ht="16.5">
      <c r="A25" s="10">
        <v>46076</v>
      </c>
      <c r="B25" s="286">
        <v>2.25</v>
      </c>
      <c r="C25" s="16"/>
      <c r="D25" s="16">
        <v>1.25</v>
      </c>
      <c r="E25" s="16"/>
      <c r="F25" s="9"/>
      <c r="G25" s="9"/>
      <c r="H25" s="9">
        <v>1</v>
      </c>
      <c r="J25" s="14" t="s">
        <v>290</v>
      </c>
      <c r="K25" s="9"/>
      <c r="L25" s="22"/>
      <c r="M25" s="12"/>
      <c r="N25" s="212" t="s">
        <v>22</v>
      </c>
      <c r="O25" s="212">
        <v>15</v>
      </c>
    </row>
    <row r="26" spans="1:16" ht="16.5">
      <c r="A26" s="10">
        <v>46077</v>
      </c>
      <c r="B26" s="286">
        <v>1</v>
      </c>
      <c r="C26" s="16"/>
      <c r="D26" s="16"/>
      <c r="E26" s="16"/>
      <c r="F26" s="9"/>
      <c r="G26" s="9">
        <v>3.5</v>
      </c>
      <c r="H26" s="9"/>
      <c r="I26" s="9"/>
      <c r="J26" s="289"/>
      <c r="K26" s="9" t="s">
        <v>254</v>
      </c>
      <c r="L26" s="11"/>
      <c r="M26" s="12"/>
      <c r="N26" s="214"/>
      <c r="O26" s="214"/>
    </row>
    <row r="27" spans="1:16" ht="16.5">
      <c r="A27" s="10">
        <v>46078</v>
      </c>
      <c r="B27" s="286"/>
      <c r="C27" s="16"/>
      <c r="D27" s="16"/>
      <c r="E27" s="16"/>
      <c r="F27" s="9"/>
      <c r="G27" s="9"/>
      <c r="H27" s="9"/>
      <c r="I27" s="9"/>
      <c r="J27" s="289"/>
      <c r="K27" s="9"/>
      <c r="L27" s="19"/>
      <c r="M27" s="12"/>
      <c r="N27" s="214" t="s">
        <v>98</v>
      </c>
      <c r="O27" s="214">
        <v>15</v>
      </c>
    </row>
    <row r="28" spans="1:16" ht="16.5">
      <c r="A28" s="10">
        <v>46079</v>
      </c>
      <c r="B28" s="286"/>
      <c r="C28" s="16"/>
      <c r="D28" s="16"/>
      <c r="E28" s="16"/>
      <c r="F28" s="9"/>
      <c r="G28" s="9"/>
      <c r="H28" s="9"/>
      <c r="I28" s="9"/>
      <c r="J28" s="289"/>
      <c r="K28" s="9"/>
      <c r="L28" s="9"/>
    </row>
    <row r="29" spans="1:16" ht="16.5">
      <c r="A29" s="10">
        <v>46080</v>
      </c>
      <c r="B29" s="286"/>
      <c r="C29" s="16"/>
      <c r="D29" s="16"/>
      <c r="E29" s="16"/>
      <c r="F29" s="9"/>
      <c r="G29" s="9"/>
      <c r="H29" s="9"/>
      <c r="I29" s="9"/>
      <c r="J29" s="289"/>
      <c r="K29" s="9"/>
      <c r="L29" s="9"/>
    </row>
    <row r="30" spans="1:16" ht="16.5">
      <c r="A30" s="10">
        <v>46081</v>
      </c>
      <c r="B30" s="286">
        <v>3.75</v>
      </c>
      <c r="C30" s="16">
        <v>0.25</v>
      </c>
      <c r="D30" s="16">
        <v>1</v>
      </c>
      <c r="E30" s="16">
        <v>1.5</v>
      </c>
      <c r="F30" s="9">
        <v>2.25</v>
      </c>
      <c r="G30" s="9"/>
      <c r="H30" s="9">
        <v>2.5</v>
      </c>
      <c r="I30" s="9"/>
      <c r="J30" s="289" t="s">
        <v>291</v>
      </c>
      <c r="K30" s="5" t="s">
        <v>293</v>
      </c>
      <c r="L30" s="9"/>
    </row>
    <row r="31" spans="1:16" ht="16.5">
      <c r="A31" s="9"/>
      <c r="B31" s="9"/>
      <c r="C31" s="9"/>
      <c r="D31" s="9"/>
      <c r="E31" s="9"/>
      <c r="F31" s="9">
        <v>15</v>
      </c>
      <c r="G31" s="9"/>
      <c r="H31" s="9"/>
      <c r="I31" s="9"/>
      <c r="J31" s="289"/>
      <c r="K31" s="9" t="s">
        <v>214</v>
      </c>
      <c r="L31" s="9"/>
    </row>
    <row r="32" spans="1:16" ht="16.5">
      <c r="A32" s="9" t="s">
        <v>17</v>
      </c>
      <c r="B32" s="9">
        <v>3</v>
      </c>
      <c r="C32" s="9"/>
      <c r="D32" s="9"/>
      <c r="E32" s="9"/>
      <c r="F32" s="9"/>
      <c r="G32" s="9"/>
      <c r="H32" s="9"/>
      <c r="I32" s="9"/>
      <c r="J32" s="289"/>
      <c r="K32" s="9"/>
      <c r="L32" s="9"/>
    </row>
    <row r="33" spans="1:12" ht="16.5">
      <c r="A33" s="9"/>
      <c r="B33" s="9"/>
      <c r="C33" s="9"/>
      <c r="D33" s="9"/>
      <c r="E33" s="9"/>
      <c r="F33" s="9"/>
      <c r="G33" s="9"/>
      <c r="H33" s="9"/>
      <c r="I33" s="9"/>
      <c r="J33" s="289"/>
      <c r="K33" s="9"/>
      <c r="L33" s="9"/>
    </row>
    <row r="34" spans="1:12" ht="16.5">
      <c r="A34" s="9"/>
      <c r="B34" s="9"/>
      <c r="C34" s="9"/>
      <c r="D34" s="9"/>
      <c r="E34" s="9"/>
      <c r="F34" s="9"/>
      <c r="G34" s="9"/>
      <c r="H34" s="9"/>
      <c r="I34" s="9"/>
      <c r="J34" s="289"/>
      <c r="K34" s="9"/>
      <c r="L34" s="9"/>
    </row>
    <row r="51" spans="4:10">
      <c r="D51" t="s">
        <v>20</v>
      </c>
      <c r="H51">
        <v>1</v>
      </c>
    </row>
    <row r="52" spans="4:10" s="13" customFormat="1">
      <c r="I52" s="17"/>
      <c r="J52" s="288"/>
    </row>
    <row r="53" spans="4:10">
      <c r="H53">
        <v>1</v>
      </c>
    </row>
    <row r="54" spans="4:10">
      <c r="H54">
        <v>2</v>
      </c>
    </row>
    <row r="55" spans="4:10">
      <c r="E55" s="15"/>
    </row>
    <row r="56" spans="4:10">
      <c r="E56" s="15"/>
    </row>
    <row r="58" spans="4:10">
      <c r="E58" s="15"/>
    </row>
  </sheetData>
  <sortState ref="L3:M27">
    <sortCondition descending="1" ref="M3:M27"/>
  </sortState>
  <mergeCells count="1">
    <mergeCell ref="P1:Q2"/>
  </mergeCells>
  <conditionalFormatting sqref="J1">
    <cfRule type="cellIs" priority="5" operator="lessThanOrEqual">
      <formula>$C$34</formula>
    </cfRule>
  </conditionalFormatting>
  <conditionalFormatting sqref="B3:B30">
    <cfRule type="cellIs" dxfId="88" priority="3" operator="lessThan">
      <formula>$B$32</formula>
    </cfRule>
    <cfRule type="cellIs" dxfId="87" priority="4" operator="greaterThan">
      <formula>$B$32</formula>
    </cfRule>
  </conditionalFormatting>
  <conditionalFormatting sqref="A3:A30">
    <cfRule type="expression" dxfId="86" priority="2">
      <formula>WEEKDAY(A3,2)&gt;5</formula>
    </cfRule>
  </conditionalFormatting>
  <conditionalFormatting sqref="I4:J11 I13:J30 I3">
    <cfRule type="colorScale" priority="1">
      <colorScale>
        <cfvo type="num" val="20"/>
        <cfvo type="num" val="5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workbookViewId="0">
      <pane ySplit="1" topLeftCell="A2" activePane="bottomLeft" state="frozen"/>
      <selection pane="bottomLeft" activeCell="K14" sqref="K14"/>
    </sheetView>
  </sheetViews>
  <sheetFormatPr defaultRowHeight="15"/>
  <cols>
    <col min="1" max="1" width="10.85546875" style="291" customWidth="1"/>
    <col min="2" max="2" width="8.42578125" style="291" customWidth="1"/>
    <col min="3" max="3" width="9.5703125" style="291" customWidth="1"/>
    <col min="4" max="4" width="8.42578125" style="291" customWidth="1"/>
    <col min="5" max="5" width="11.5703125" style="291" customWidth="1"/>
    <col min="6" max="6" width="8.28515625" style="291" customWidth="1"/>
    <col min="7" max="7" width="9.140625" style="291"/>
    <col min="8" max="8" width="6.5703125" style="291" customWidth="1"/>
    <col min="9" max="9" width="10.28515625" style="291" customWidth="1"/>
    <col min="10" max="10" width="14.5703125" style="291" customWidth="1"/>
    <col min="11" max="11" width="47" style="291" customWidth="1"/>
    <col min="12" max="12" width="61.42578125" style="291" customWidth="1"/>
    <col min="13" max="13" width="12.5703125" style="291" customWidth="1"/>
    <col min="14" max="14" width="19.85546875" style="291" bestFit="1" customWidth="1"/>
    <col min="15" max="15" width="14.28515625" style="291" customWidth="1"/>
    <col min="16" max="16384" width="9.140625" style="291"/>
  </cols>
  <sheetData>
    <row r="1" spans="1:17" ht="53.25" customHeight="1">
      <c r="A1" s="5" t="s">
        <v>12</v>
      </c>
      <c r="B1" s="304" t="s">
        <v>0</v>
      </c>
      <c r="C1" s="304" t="s">
        <v>58</v>
      </c>
      <c r="D1" s="304" t="s">
        <v>61</v>
      </c>
      <c r="E1" s="304" t="s">
        <v>53</v>
      </c>
      <c r="F1" s="304" t="s">
        <v>70</v>
      </c>
      <c r="G1" s="304" t="s">
        <v>1</v>
      </c>
      <c r="H1" s="304" t="s">
        <v>89</v>
      </c>
      <c r="I1" s="304" t="s">
        <v>133</v>
      </c>
      <c r="J1" s="55" t="s">
        <v>216</v>
      </c>
      <c r="L1" s="20" t="s">
        <v>2</v>
      </c>
      <c r="M1" s="8"/>
      <c r="N1" s="291" t="s">
        <v>14</v>
      </c>
      <c r="O1" s="291">
        <f>SUM(B3:B30)</f>
        <v>44.5</v>
      </c>
      <c r="P1" s="384" t="s">
        <v>218</v>
      </c>
      <c r="Q1" s="384"/>
    </row>
    <row r="2" spans="1:17" ht="16.5">
      <c r="B2" s="298">
        <f>SUM(B3:B33)</f>
        <v>48.75</v>
      </c>
      <c r="C2" s="298">
        <f t="shared" ref="C2" si="0">SUM(C3:C33)</f>
        <v>19.25</v>
      </c>
      <c r="D2" s="298">
        <f>SUM(D3:D33)</f>
        <v>9</v>
      </c>
      <c r="E2" s="298">
        <f t="shared" ref="E2:H2" si="1">SUM(E3:E33)</f>
        <v>16.5</v>
      </c>
      <c r="F2" s="298">
        <f>SUM(F3:F33)</f>
        <v>33</v>
      </c>
      <c r="G2" s="298">
        <f t="shared" si="1"/>
        <v>80.25</v>
      </c>
      <c r="H2" s="298">
        <f t="shared" si="1"/>
        <v>4</v>
      </c>
      <c r="I2" s="298">
        <f>SUM(I3:I30)/60</f>
        <v>2.2833333333333332</v>
      </c>
      <c r="J2" s="298"/>
      <c r="K2" s="287">
        <f>SUM(E2:G2)</f>
        <v>129.75</v>
      </c>
      <c r="L2" s="293"/>
      <c r="M2" s="291" t="s">
        <v>13</v>
      </c>
      <c r="N2" s="303" t="s">
        <v>15</v>
      </c>
      <c r="O2" s="303">
        <f>SUM(C3:E30)</f>
        <v>36.75</v>
      </c>
      <c r="P2" s="384"/>
      <c r="Q2" s="384"/>
    </row>
    <row r="3" spans="1:17" ht="16.5">
      <c r="A3" s="10">
        <v>46082</v>
      </c>
      <c r="B3" s="304">
        <v>2</v>
      </c>
      <c r="C3" s="299">
        <v>1.5</v>
      </c>
      <c r="D3" s="300">
        <v>0.5</v>
      </c>
      <c r="E3" s="300">
        <v>3.75</v>
      </c>
      <c r="F3" s="301">
        <v>4</v>
      </c>
      <c r="G3" s="269"/>
      <c r="H3" s="301"/>
      <c r="I3" s="298"/>
      <c r="J3" s="298"/>
      <c r="K3" s="293" t="s">
        <v>257</v>
      </c>
      <c r="L3" s="21" t="s">
        <v>25</v>
      </c>
      <c r="M3" s="311">
        <f>SUM(M4:M28)</f>
        <v>129.25</v>
      </c>
      <c r="N3" s="302" t="s">
        <v>16</v>
      </c>
      <c r="O3" s="302">
        <f>SUM(F3:H30)</f>
        <v>98.25</v>
      </c>
      <c r="P3" s="291">
        <f>SUM(P4:P32)</f>
        <v>14.5</v>
      </c>
    </row>
    <row r="4" spans="1:17" ht="16.5">
      <c r="A4" s="10">
        <v>46083</v>
      </c>
      <c r="B4" s="304">
        <v>3</v>
      </c>
      <c r="C4" s="300">
        <v>0.5</v>
      </c>
      <c r="D4" s="300"/>
      <c r="E4" s="300">
        <v>0.5</v>
      </c>
      <c r="F4" s="300">
        <v>1</v>
      </c>
      <c r="G4" s="298"/>
      <c r="H4" s="298">
        <v>1.5</v>
      </c>
      <c r="I4" s="298">
        <v>20</v>
      </c>
      <c r="J4" s="298" t="s">
        <v>261</v>
      </c>
      <c r="K4" s="293" t="s">
        <v>262</v>
      </c>
      <c r="L4" s="304" t="s">
        <v>219</v>
      </c>
      <c r="M4" s="312">
        <v>3</v>
      </c>
      <c r="P4" s="291">
        <v>1.5</v>
      </c>
    </row>
    <row r="5" spans="1:17" ht="16.5">
      <c r="A5" s="10">
        <v>46084</v>
      </c>
      <c r="B5" s="304">
        <v>3</v>
      </c>
      <c r="C5" s="300"/>
      <c r="D5" s="300">
        <v>0.25</v>
      </c>
      <c r="E5" s="300"/>
      <c r="F5" s="300"/>
      <c r="G5" s="298"/>
      <c r="H5" s="298">
        <v>0.5</v>
      </c>
      <c r="I5" s="298">
        <v>30</v>
      </c>
      <c r="J5" s="298" t="s">
        <v>264</v>
      </c>
      <c r="K5" s="293"/>
      <c r="L5" s="304" t="s">
        <v>256</v>
      </c>
      <c r="M5" s="313">
        <v>0.75</v>
      </c>
      <c r="N5" s="291" t="s">
        <v>260</v>
      </c>
      <c r="P5" s="291">
        <v>1</v>
      </c>
    </row>
    <row r="6" spans="1:17" ht="30">
      <c r="A6" s="10">
        <v>46085</v>
      </c>
      <c r="B6" s="304">
        <v>4.25</v>
      </c>
      <c r="C6" s="300">
        <v>0.5</v>
      </c>
      <c r="D6" s="300">
        <v>1.25</v>
      </c>
      <c r="E6" s="300"/>
      <c r="F6" s="300">
        <v>0.5</v>
      </c>
      <c r="G6" s="298">
        <v>1.5</v>
      </c>
      <c r="H6" s="298"/>
      <c r="I6" s="298">
        <v>17</v>
      </c>
      <c r="J6" s="298" t="s">
        <v>265</v>
      </c>
      <c r="K6" s="293" t="s">
        <v>266</v>
      </c>
      <c r="L6" s="330" t="s">
        <v>326</v>
      </c>
      <c r="M6" s="313"/>
      <c r="N6" s="18" t="s">
        <v>19</v>
      </c>
      <c r="O6" s="18" t="s">
        <v>21</v>
      </c>
    </row>
    <row r="7" spans="1:17" ht="16.5">
      <c r="A7" s="10">
        <v>46086</v>
      </c>
      <c r="B7" s="304">
        <v>1.5</v>
      </c>
      <c r="C7" s="300"/>
      <c r="D7" s="300"/>
      <c r="E7" s="300"/>
      <c r="F7" s="300"/>
      <c r="G7" s="298">
        <v>2.5</v>
      </c>
      <c r="H7" s="298"/>
      <c r="I7" s="298">
        <v>15</v>
      </c>
      <c r="J7" s="293" t="s">
        <v>267</v>
      </c>
      <c r="K7" s="329" t="s">
        <v>270</v>
      </c>
      <c r="L7" s="304" t="s">
        <v>230</v>
      </c>
      <c r="M7" s="326">
        <v>1.5</v>
      </c>
      <c r="N7" s="305" t="s">
        <v>186</v>
      </c>
      <c r="O7" s="46" t="s">
        <v>237</v>
      </c>
    </row>
    <row r="8" spans="1:17" ht="16.5">
      <c r="A8" s="10">
        <v>46087</v>
      </c>
      <c r="B8" s="304">
        <v>0</v>
      </c>
      <c r="C8" s="300"/>
      <c r="D8" s="300"/>
      <c r="E8" s="318"/>
      <c r="F8" s="300"/>
      <c r="G8" s="298">
        <v>3</v>
      </c>
      <c r="H8" s="298"/>
      <c r="K8" s="14" t="s">
        <v>276</v>
      </c>
      <c r="L8" s="304" t="s">
        <v>329</v>
      </c>
      <c r="M8" s="327">
        <v>2.5</v>
      </c>
      <c r="N8" s="306" t="s">
        <v>189</v>
      </c>
      <c r="O8" s="48" t="s">
        <v>107</v>
      </c>
    </row>
    <row r="9" spans="1:17" ht="16.5">
      <c r="A9" s="10">
        <v>46088</v>
      </c>
      <c r="B9" s="304">
        <v>0.5</v>
      </c>
      <c r="C9" s="300">
        <v>0.5</v>
      </c>
      <c r="D9" s="300">
        <v>1</v>
      </c>
      <c r="E9" s="300"/>
      <c r="F9" s="300"/>
      <c r="G9" s="298">
        <v>9</v>
      </c>
      <c r="H9" s="298"/>
      <c r="I9" s="298">
        <v>24</v>
      </c>
      <c r="J9" s="298" t="s">
        <v>274</v>
      </c>
      <c r="K9" s="320" t="s">
        <v>273</v>
      </c>
      <c r="L9" s="304" t="s">
        <v>332</v>
      </c>
      <c r="M9" s="312">
        <v>5</v>
      </c>
      <c r="N9" s="291" t="s">
        <v>190</v>
      </c>
      <c r="O9" s="291" t="s">
        <v>192</v>
      </c>
    </row>
    <row r="10" spans="1:17" ht="16.5">
      <c r="A10" s="10">
        <v>46089</v>
      </c>
      <c r="B10" s="304">
        <v>0</v>
      </c>
      <c r="C10" s="300">
        <v>4</v>
      </c>
      <c r="D10" s="300"/>
      <c r="E10" s="300"/>
      <c r="F10" s="300">
        <v>2</v>
      </c>
      <c r="G10" s="298">
        <v>6</v>
      </c>
      <c r="H10" s="298">
        <v>1</v>
      </c>
      <c r="I10" s="317"/>
      <c r="J10" s="298"/>
      <c r="K10" s="321" t="s">
        <v>271</v>
      </c>
      <c r="L10" s="304" t="s">
        <v>284</v>
      </c>
      <c r="M10" s="313">
        <v>16.5</v>
      </c>
      <c r="N10" s="307" t="s">
        <v>191</v>
      </c>
      <c r="O10" s="223" t="s">
        <v>193</v>
      </c>
    </row>
    <row r="11" spans="1:17" ht="16.5">
      <c r="A11" s="10">
        <v>46090</v>
      </c>
      <c r="B11" s="304">
        <v>1.75</v>
      </c>
      <c r="C11" s="300"/>
      <c r="D11" s="300"/>
      <c r="E11" s="300"/>
      <c r="F11" s="300"/>
      <c r="G11" s="298">
        <v>2</v>
      </c>
      <c r="H11" s="298"/>
      <c r="I11" s="316">
        <v>11</v>
      </c>
      <c r="J11" s="298" t="s">
        <v>275</v>
      </c>
      <c r="K11" s="322" t="s">
        <v>272</v>
      </c>
      <c r="L11" s="304" t="s">
        <v>305</v>
      </c>
      <c r="M11" s="313">
        <v>7.75</v>
      </c>
      <c r="N11" s="306" t="s">
        <v>188</v>
      </c>
      <c r="O11" s="48" t="s">
        <v>115</v>
      </c>
    </row>
    <row r="12" spans="1:17" ht="16.5">
      <c r="A12" s="10">
        <v>46091</v>
      </c>
      <c r="B12" s="304">
        <v>3</v>
      </c>
      <c r="C12" s="300">
        <v>0.75</v>
      </c>
      <c r="D12" s="269"/>
      <c r="E12" s="269"/>
      <c r="F12" s="269">
        <v>0.5</v>
      </c>
      <c r="G12" s="269">
        <v>6</v>
      </c>
      <c r="H12" s="269"/>
      <c r="I12" s="269"/>
      <c r="J12" s="269" t="s">
        <v>278</v>
      </c>
      <c r="K12" s="323" t="s">
        <v>286</v>
      </c>
      <c r="L12" s="304" t="s">
        <v>281</v>
      </c>
      <c r="M12" s="313">
        <v>6</v>
      </c>
      <c r="N12" s="291" t="s">
        <v>194</v>
      </c>
      <c r="O12" s="291" t="s">
        <v>98</v>
      </c>
    </row>
    <row r="13" spans="1:17" ht="16.5">
      <c r="A13" s="10">
        <v>46092</v>
      </c>
      <c r="B13" s="304">
        <v>2</v>
      </c>
      <c r="C13" s="300"/>
      <c r="D13" s="300">
        <v>1.25</v>
      </c>
      <c r="E13" s="300"/>
      <c r="F13" s="300"/>
      <c r="G13" s="298">
        <v>4</v>
      </c>
      <c r="H13" s="298"/>
      <c r="I13" s="298"/>
      <c r="J13" s="298"/>
      <c r="K13" s="322" t="s">
        <v>288</v>
      </c>
      <c r="L13" s="304" t="s">
        <v>287</v>
      </c>
      <c r="M13" s="313">
        <v>3</v>
      </c>
      <c r="N13" s="306" t="s">
        <v>198</v>
      </c>
      <c r="O13" s="73" t="s">
        <v>197</v>
      </c>
      <c r="P13" s="291">
        <v>6</v>
      </c>
    </row>
    <row r="14" spans="1:17" ht="34.5" customHeight="1">
      <c r="A14" s="10">
        <v>46093</v>
      </c>
      <c r="B14" s="304"/>
      <c r="C14" s="300"/>
      <c r="D14" s="300"/>
      <c r="E14" s="300"/>
      <c r="F14" s="300"/>
      <c r="G14" s="298">
        <v>2.5</v>
      </c>
      <c r="H14" s="298"/>
      <c r="I14" s="298"/>
      <c r="J14" s="298"/>
      <c r="K14" s="324" t="s">
        <v>282</v>
      </c>
      <c r="L14" s="304" t="s">
        <v>320</v>
      </c>
      <c r="M14" s="314">
        <v>17.5</v>
      </c>
      <c r="N14" s="59" t="s">
        <v>195</v>
      </c>
      <c r="O14" s="59" t="s">
        <v>196</v>
      </c>
    </row>
    <row r="15" spans="1:17" ht="16.5">
      <c r="A15" s="10">
        <v>46094</v>
      </c>
      <c r="B15" s="304"/>
      <c r="C15" s="300"/>
      <c r="D15" s="300">
        <v>0.5</v>
      </c>
      <c r="E15" s="300"/>
      <c r="F15" s="300"/>
      <c r="G15" s="298">
        <v>1.5</v>
      </c>
      <c r="H15" s="298"/>
      <c r="I15" s="298"/>
      <c r="J15" s="298"/>
      <c r="K15" s="324" t="s">
        <v>280</v>
      </c>
      <c r="L15" s="304" t="s">
        <v>259</v>
      </c>
      <c r="M15" s="315">
        <v>2</v>
      </c>
      <c r="N15" s="308" t="s">
        <v>87</v>
      </c>
      <c r="O15" s="49" t="s">
        <v>3</v>
      </c>
    </row>
    <row r="16" spans="1:17" ht="16.5">
      <c r="A16" s="10">
        <v>46095</v>
      </c>
      <c r="B16" s="304"/>
      <c r="C16" s="300"/>
      <c r="D16" s="300"/>
      <c r="E16" s="300"/>
      <c r="F16" s="300"/>
      <c r="G16" s="298">
        <v>6.5</v>
      </c>
      <c r="H16" s="298"/>
      <c r="I16" s="298"/>
      <c r="J16" s="298"/>
      <c r="K16" s="324" t="s">
        <v>283</v>
      </c>
      <c r="L16" s="304" t="s">
        <v>268</v>
      </c>
      <c r="M16" s="313">
        <v>2</v>
      </c>
      <c r="N16" s="308" t="s">
        <v>199</v>
      </c>
      <c r="O16" s="49" t="s">
        <v>88</v>
      </c>
    </row>
    <row r="17" spans="1:16" ht="30.75">
      <c r="A17" s="10">
        <v>46096</v>
      </c>
      <c r="B17" s="304"/>
      <c r="C17" s="300">
        <v>2</v>
      </c>
      <c r="D17" s="300"/>
      <c r="E17" s="300"/>
      <c r="F17" s="300">
        <v>1.5</v>
      </c>
      <c r="G17" s="298">
        <v>6</v>
      </c>
      <c r="H17" s="298"/>
      <c r="I17" s="298"/>
      <c r="J17" s="298"/>
      <c r="K17" s="324" t="s">
        <v>285</v>
      </c>
      <c r="L17" s="304" t="s">
        <v>269</v>
      </c>
      <c r="M17" s="313">
        <v>5</v>
      </c>
      <c r="N17" s="308" t="s">
        <v>200</v>
      </c>
      <c r="O17" s="49" t="s">
        <v>51</v>
      </c>
    </row>
    <row r="18" spans="1:16" ht="16.5">
      <c r="A18" s="10">
        <v>46097</v>
      </c>
      <c r="B18" s="304"/>
      <c r="C18" s="300"/>
      <c r="D18" s="300"/>
      <c r="E18" s="300"/>
      <c r="F18" s="300"/>
      <c r="G18" s="298"/>
      <c r="H18" s="298"/>
      <c r="I18" s="298"/>
      <c r="J18" s="298"/>
      <c r="K18" s="324" t="s">
        <v>300</v>
      </c>
      <c r="L18" s="304" t="s">
        <v>277</v>
      </c>
      <c r="M18" s="313">
        <v>12</v>
      </c>
      <c r="N18" s="291" t="s">
        <v>130</v>
      </c>
    </row>
    <row r="19" spans="1:16" ht="16.5">
      <c r="A19" s="10">
        <v>46098</v>
      </c>
      <c r="B19" s="304">
        <v>2</v>
      </c>
      <c r="C19" s="300"/>
      <c r="D19" s="300">
        <v>0.25</v>
      </c>
      <c r="E19" s="300"/>
      <c r="F19" s="300"/>
      <c r="G19" s="298"/>
      <c r="H19" s="298"/>
      <c r="I19" s="298"/>
      <c r="J19" s="298"/>
      <c r="K19" s="325" t="s">
        <v>299</v>
      </c>
      <c r="L19" s="304" t="s">
        <v>209</v>
      </c>
      <c r="M19" s="326">
        <v>8</v>
      </c>
      <c r="N19" s="309"/>
      <c r="P19" s="292"/>
    </row>
    <row r="20" spans="1:16" ht="16.5">
      <c r="A20" s="10">
        <v>46099</v>
      </c>
      <c r="B20" s="304">
        <v>0.5</v>
      </c>
      <c r="C20" s="300"/>
      <c r="D20" s="300"/>
      <c r="E20" s="300">
        <v>0.5</v>
      </c>
      <c r="F20" s="298">
        <v>1.5</v>
      </c>
      <c r="G20" s="298">
        <v>2</v>
      </c>
      <c r="H20" s="298">
        <v>0.5</v>
      </c>
      <c r="I20" s="298"/>
      <c r="J20" s="298" t="s">
        <v>304</v>
      </c>
      <c r="K20" s="319" t="s">
        <v>306</v>
      </c>
      <c r="L20" s="304" t="s">
        <v>333</v>
      </c>
      <c r="M20" s="328">
        <v>6</v>
      </c>
      <c r="N20" s="310" t="s">
        <v>65</v>
      </c>
      <c r="O20" s="211">
        <v>10</v>
      </c>
      <c r="P20" s="292"/>
    </row>
    <row r="21" spans="1:16" ht="33">
      <c r="A21" s="10">
        <v>46100</v>
      </c>
      <c r="B21" s="304">
        <v>3.5</v>
      </c>
      <c r="C21" s="300"/>
      <c r="D21" s="300">
        <v>0.75</v>
      </c>
      <c r="E21" s="300"/>
      <c r="F21" s="298">
        <v>0.5</v>
      </c>
      <c r="G21" s="298">
        <v>5.5</v>
      </c>
      <c r="H21" s="298"/>
      <c r="I21" s="298"/>
      <c r="J21" s="298" t="s">
        <v>303</v>
      </c>
      <c r="K21" s="333" t="s">
        <v>302</v>
      </c>
      <c r="L21" s="304" t="s">
        <v>307</v>
      </c>
      <c r="M21" s="315">
        <v>3.5</v>
      </c>
      <c r="N21" s="310" t="s">
        <v>66</v>
      </c>
      <c r="O21" s="211">
        <v>20</v>
      </c>
      <c r="P21" s="267"/>
    </row>
    <row r="22" spans="1:16" ht="16.5">
      <c r="A22" s="10">
        <v>46101</v>
      </c>
      <c r="B22" s="304">
        <v>2</v>
      </c>
      <c r="C22" s="300">
        <v>0.5</v>
      </c>
      <c r="D22" s="300"/>
      <c r="E22" s="300"/>
      <c r="F22" s="298">
        <v>1</v>
      </c>
      <c r="G22" s="298">
        <v>3</v>
      </c>
      <c r="H22" s="298">
        <v>0.5</v>
      </c>
      <c r="I22" s="298"/>
      <c r="J22" s="298" t="s">
        <v>308</v>
      </c>
      <c r="K22" s="296"/>
      <c r="L22" s="291" t="s">
        <v>310</v>
      </c>
      <c r="M22" s="334">
        <v>5</v>
      </c>
      <c r="N22" s="310" t="s">
        <v>96</v>
      </c>
      <c r="O22" s="211">
        <v>30</v>
      </c>
      <c r="P22" s="267"/>
    </row>
    <row r="23" spans="1:16" ht="16.5">
      <c r="A23" s="10">
        <v>46102</v>
      </c>
      <c r="B23" s="304">
        <v>3.25</v>
      </c>
      <c r="C23" s="300">
        <v>0.5</v>
      </c>
      <c r="D23" s="300">
        <v>1</v>
      </c>
      <c r="E23" s="300"/>
      <c r="F23" s="298"/>
      <c r="G23" s="298">
        <v>3.5</v>
      </c>
      <c r="H23" s="298"/>
      <c r="I23" s="298"/>
      <c r="J23" s="298" t="s">
        <v>319</v>
      </c>
      <c r="K23" s="297" t="s">
        <v>318</v>
      </c>
      <c r="L23" s="286" t="s">
        <v>312</v>
      </c>
      <c r="M23" s="12">
        <v>0.5</v>
      </c>
      <c r="N23" s="212" t="s">
        <v>67</v>
      </c>
      <c r="O23" s="212">
        <v>20</v>
      </c>
      <c r="P23" s="267"/>
    </row>
    <row r="24" spans="1:16" ht="33">
      <c r="A24" s="10">
        <v>46103</v>
      </c>
      <c r="B24" s="304"/>
      <c r="C24" s="300">
        <v>5</v>
      </c>
      <c r="D24" s="300"/>
      <c r="E24" s="300">
        <v>3.5</v>
      </c>
      <c r="F24" s="298">
        <v>2</v>
      </c>
      <c r="G24" s="298">
        <v>3.5</v>
      </c>
      <c r="H24" s="298"/>
      <c r="I24" s="298"/>
      <c r="J24" s="298"/>
      <c r="K24" s="5" t="s">
        <v>322</v>
      </c>
      <c r="L24" s="304" t="s">
        <v>214</v>
      </c>
      <c r="M24" s="314">
        <v>15</v>
      </c>
      <c r="N24" s="212" t="s">
        <v>68</v>
      </c>
      <c r="O24" s="212">
        <v>10</v>
      </c>
    </row>
    <row r="25" spans="1:16" ht="16.5">
      <c r="A25" s="10">
        <v>46104</v>
      </c>
      <c r="B25" s="304">
        <v>2.25</v>
      </c>
      <c r="C25" s="300"/>
      <c r="D25" s="300">
        <v>0.5</v>
      </c>
      <c r="E25" s="300"/>
      <c r="F25" s="298"/>
      <c r="G25" s="298"/>
      <c r="H25" s="298"/>
      <c r="I25" s="269"/>
      <c r="J25" s="269" t="s">
        <v>324</v>
      </c>
      <c r="K25" s="293"/>
      <c r="L25" s="22" t="s">
        <v>316</v>
      </c>
      <c r="M25" s="12">
        <v>0.75</v>
      </c>
      <c r="N25" s="212" t="s">
        <v>22</v>
      </c>
      <c r="O25" s="212">
        <v>15</v>
      </c>
    </row>
    <row r="26" spans="1:16" ht="16.5">
      <c r="A26" s="10">
        <v>46105</v>
      </c>
      <c r="B26" s="304">
        <v>1.5</v>
      </c>
      <c r="C26" s="300"/>
      <c r="D26" s="300"/>
      <c r="E26" s="300">
        <v>0.75</v>
      </c>
      <c r="F26" s="298"/>
      <c r="G26" s="298">
        <v>0.25</v>
      </c>
      <c r="H26" s="298"/>
      <c r="I26" s="298"/>
      <c r="J26" s="298" t="s">
        <v>317</v>
      </c>
      <c r="K26" s="293"/>
      <c r="L26" s="11" t="s">
        <v>321</v>
      </c>
      <c r="M26" s="12">
        <v>3.5</v>
      </c>
      <c r="N26" s="214"/>
      <c r="O26" s="214"/>
    </row>
    <row r="27" spans="1:16" ht="16.5">
      <c r="A27" s="10">
        <v>46106</v>
      </c>
      <c r="B27" s="304">
        <v>2</v>
      </c>
      <c r="C27" s="300"/>
      <c r="D27" s="300"/>
      <c r="E27" s="300">
        <v>0.5</v>
      </c>
      <c r="F27" s="298"/>
      <c r="G27" s="298">
        <v>5.5</v>
      </c>
      <c r="H27" s="298"/>
      <c r="I27" s="298"/>
      <c r="J27" s="298" t="s">
        <v>313</v>
      </c>
      <c r="K27" s="293" t="s">
        <v>311</v>
      </c>
      <c r="L27" s="19" t="s">
        <v>323</v>
      </c>
      <c r="M27" s="12">
        <v>2.5</v>
      </c>
      <c r="N27" s="214" t="s">
        <v>98</v>
      </c>
      <c r="O27" s="214">
        <v>15</v>
      </c>
      <c r="P27" s="291">
        <v>6</v>
      </c>
    </row>
    <row r="28" spans="1:16" ht="16.5">
      <c r="A28" s="10">
        <v>46107</v>
      </c>
      <c r="B28" s="304">
        <v>3.5</v>
      </c>
      <c r="C28" s="300"/>
      <c r="D28" s="300">
        <v>0.25</v>
      </c>
      <c r="E28" s="300"/>
      <c r="F28" s="298"/>
      <c r="G28" s="298">
        <v>0.5</v>
      </c>
      <c r="H28" s="298"/>
      <c r="I28" s="298">
        <v>20</v>
      </c>
      <c r="J28" s="298" t="s">
        <v>315</v>
      </c>
      <c r="K28" s="293" t="s">
        <v>314</v>
      </c>
      <c r="L28" s="293"/>
    </row>
    <row r="29" spans="1:16" ht="16.5">
      <c r="A29" s="10">
        <v>46108</v>
      </c>
      <c r="B29" s="304"/>
      <c r="C29" s="300"/>
      <c r="D29" s="300"/>
      <c r="E29" s="300">
        <v>1</v>
      </c>
      <c r="F29" s="298">
        <v>1.5</v>
      </c>
      <c r="G29" s="298"/>
      <c r="H29" s="298"/>
      <c r="I29" s="298"/>
      <c r="J29" s="298"/>
      <c r="K29" s="293" t="s">
        <v>331</v>
      </c>
      <c r="L29" s="293"/>
    </row>
    <row r="30" spans="1:16" ht="33">
      <c r="A30" s="10">
        <v>46109</v>
      </c>
      <c r="B30" s="304">
        <v>3</v>
      </c>
      <c r="C30" s="300"/>
      <c r="D30" s="300">
        <v>1.5</v>
      </c>
      <c r="E30" s="300">
        <v>1.5</v>
      </c>
      <c r="F30" s="298">
        <v>2</v>
      </c>
      <c r="G30" s="298">
        <v>2</v>
      </c>
      <c r="H30" s="298"/>
      <c r="I30" s="298"/>
      <c r="J30" s="298"/>
      <c r="K30" s="5" t="s">
        <v>336</v>
      </c>
      <c r="L30" s="385" t="s">
        <v>258</v>
      </c>
      <c r="M30" s="385"/>
      <c r="N30" s="385"/>
      <c r="O30" s="385"/>
    </row>
    <row r="31" spans="1:16" s="294" customFormat="1" ht="16.5">
      <c r="A31" s="10">
        <v>46110</v>
      </c>
      <c r="B31" s="304">
        <v>3.5</v>
      </c>
      <c r="C31" s="300"/>
      <c r="D31" s="300"/>
      <c r="E31" s="300">
        <v>4.5</v>
      </c>
      <c r="F31" s="298"/>
      <c r="G31" s="298"/>
      <c r="H31" s="298"/>
      <c r="I31" s="298"/>
      <c r="J31" s="298"/>
      <c r="K31" s="5" t="s">
        <v>330</v>
      </c>
      <c r="L31" s="295"/>
      <c r="M31" s="295"/>
      <c r="N31" s="295"/>
      <c r="O31" s="295"/>
    </row>
    <row r="32" spans="1:16" s="294" customFormat="1" ht="16.5">
      <c r="A32" s="10">
        <v>46111</v>
      </c>
      <c r="B32" s="304"/>
      <c r="C32" s="300"/>
      <c r="D32" s="300"/>
      <c r="E32" s="300"/>
      <c r="F32" s="298"/>
      <c r="G32" s="298">
        <v>4</v>
      </c>
      <c r="H32" s="298"/>
      <c r="I32" s="298"/>
      <c r="J32" s="298"/>
      <c r="K32" s="5" t="s">
        <v>327</v>
      </c>
      <c r="L32" s="295"/>
      <c r="M32" s="295"/>
      <c r="N32" s="295"/>
      <c r="O32" s="295"/>
    </row>
    <row r="33" spans="1:15" ht="16.5">
      <c r="A33" s="10">
        <v>46112</v>
      </c>
      <c r="B33" s="293">
        <v>0.75</v>
      </c>
      <c r="C33" s="293">
        <v>3.5</v>
      </c>
      <c r="D33" s="293"/>
      <c r="E33" s="293"/>
      <c r="F33" s="293">
        <v>15</v>
      </c>
      <c r="G33" s="293"/>
      <c r="H33" s="293"/>
      <c r="I33" s="293"/>
      <c r="J33" s="293"/>
      <c r="K33" s="291" t="s">
        <v>325</v>
      </c>
      <c r="L33" s="385"/>
      <c r="M33" s="385"/>
      <c r="N33" s="385"/>
      <c r="O33" s="385"/>
    </row>
    <row r="34" spans="1:15" ht="16.5">
      <c r="A34" s="293" t="s">
        <v>17</v>
      </c>
      <c r="B34" s="293">
        <v>3</v>
      </c>
      <c r="C34" s="293"/>
      <c r="D34" s="293"/>
      <c r="E34" s="293"/>
      <c r="F34" s="293"/>
      <c r="G34" s="293"/>
      <c r="H34" s="293"/>
      <c r="I34" s="293"/>
      <c r="J34" s="293"/>
      <c r="K34" s="293" t="s">
        <v>214</v>
      </c>
      <c r="L34" s="385"/>
      <c r="M34" s="385"/>
      <c r="N34" s="385"/>
      <c r="O34" s="385"/>
    </row>
    <row r="35" spans="1:15" ht="16.5">
      <c r="A35" s="293"/>
      <c r="B35" s="293"/>
      <c r="C35" s="293"/>
      <c r="D35" s="293"/>
      <c r="E35" s="293"/>
      <c r="F35" s="293"/>
      <c r="G35" s="293"/>
      <c r="H35" s="293"/>
      <c r="I35" s="293"/>
      <c r="J35" s="293"/>
      <c r="K35" s="293"/>
      <c r="L35" s="293"/>
    </row>
    <row r="36" spans="1:15" ht="16.5">
      <c r="A36" s="293"/>
      <c r="B36" s="293"/>
      <c r="C36" s="293"/>
      <c r="D36" s="293"/>
      <c r="E36" s="293"/>
      <c r="F36" s="293"/>
      <c r="G36" s="293"/>
      <c r="H36" s="293"/>
      <c r="I36" s="293"/>
      <c r="J36" s="293"/>
      <c r="K36" s="293"/>
      <c r="L36" s="293"/>
    </row>
    <row r="53" spans="4:8">
      <c r="D53" s="291" t="s">
        <v>20</v>
      </c>
      <c r="H53" s="291">
        <v>1</v>
      </c>
    </row>
    <row r="55" spans="4:8">
      <c r="H55" s="291">
        <v>1</v>
      </c>
    </row>
    <row r="56" spans="4:8">
      <c r="H56" s="291">
        <v>2</v>
      </c>
    </row>
    <row r="57" spans="4:8">
      <c r="E57" s="15"/>
    </row>
    <row r="58" spans="4:8">
      <c r="E58" s="15"/>
    </row>
    <row r="60" spans="4:8">
      <c r="E60" s="15"/>
    </row>
  </sheetData>
  <mergeCells count="4">
    <mergeCell ref="P1:Q2"/>
    <mergeCell ref="L30:O30"/>
    <mergeCell ref="L33:O33"/>
    <mergeCell ref="L34:O34"/>
  </mergeCells>
  <conditionalFormatting sqref="J1">
    <cfRule type="cellIs" priority="5" operator="lessThanOrEqual">
      <formula>$C$36</formula>
    </cfRule>
  </conditionalFormatting>
  <conditionalFormatting sqref="B3:B32">
    <cfRule type="cellIs" dxfId="83" priority="3" operator="lessThan">
      <formula>$B$34</formula>
    </cfRule>
    <cfRule type="cellIs" dxfId="82" priority="4" operator="greaterThan">
      <formula>$B$34</formula>
    </cfRule>
  </conditionalFormatting>
  <conditionalFormatting sqref="A3:A33">
    <cfRule type="expression" dxfId="81" priority="2">
      <formula>WEEKDAY(A3,2)&gt;5</formula>
    </cfRule>
  </conditionalFormatting>
  <conditionalFormatting sqref="I4:J6 I13:J32 I3 I7 I9:J11">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tabSelected="1" workbookViewId="0">
      <pane ySplit="1" topLeftCell="A2" activePane="bottomLeft" state="frozen"/>
      <selection pane="bottomLeft" activeCell="K9" sqref="K9"/>
    </sheetView>
  </sheetViews>
  <sheetFormatPr defaultRowHeight="15"/>
  <cols>
    <col min="1" max="1" width="10.85546875" style="335" customWidth="1"/>
    <col min="2" max="2" width="8.42578125" style="335" customWidth="1"/>
    <col min="3" max="3" width="9.5703125" style="335" customWidth="1"/>
    <col min="4" max="4" width="8.42578125" style="335" customWidth="1"/>
    <col min="5" max="5" width="11.28515625" style="335" customWidth="1"/>
    <col min="6" max="6" width="8.28515625" style="335" customWidth="1"/>
    <col min="7" max="7" width="9.140625" style="335"/>
    <col min="8" max="8" width="6.5703125" style="335" customWidth="1"/>
    <col min="9" max="9" width="10.28515625" style="335" customWidth="1"/>
    <col min="10" max="10" width="20.5703125" style="335" customWidth="1"/>
    <col min="11" max="11" width="47" style="335" customWidth="1"/>
    <col min="12" max="12" width="61.42578125" style="335" customWidth="1"/>
    <col min="13" max="13" width="12.5703125" style="335" customWidth="1"/>
    <col min="14" max="14" width="19.85546875" style="335" bestFit="1" customWidth="1"/>
    <col min="15" max="15" width="14.28515625" style="335" customWidth="1"/>
    <col min="16" max="16384" width="9.140625" style="335"/>
  </cols>
  <sheetData>
    <row r="1" spans="1:17" ht="53.25" customHeight="1">
      <c r="A1" s="342" t="s">
        <v>12</v>
      </c>
      <c r="B1" s="338" t="s">
        <v>0</v>
      </c>
      <c r="C1" s="338" t="s">
        <v>58</v>
      </c>
      <c r="D1" s="338" t="s">
        <v>61</v>
      </c>
      <c r="E1" s="338" t="s">
        <v>53</v>
      </c>
      <c r="F1" s="338" t="s">
        <v>70</v>
      </c>
      <c r="G1" s="338" t="s">
        <v>1</v>
      </c>
      <c r="H1" s="338" t="s">
        <v>89</v>
      </c>
      <c r="I1" s="338" t="s">
        <v>133</v>
      </c>
      <c r="J1" s="55" t="s">
        <v>216</v>
      </c>
      <c r="K1" s="338" t="s">
        <v>340</v>
      </c>
      <c r="L1" s="20" t="s">
        <v>2</v>
      </c>
      <c r="M1" s="8"/>
      <c r="N1" s="335" t="s">
        <v>14</v>
      </c>
      <c r="O1" s="335">
        <f>SUM(B3:B30)</f>
        <v>19</v>
      </c>
      <c r="P1" s="384" t="s">
        <v>218</v>
      </c>
      <c r="Q1" s="384"/>
    </row>
    <row r="2" spans="1:17" ht="16.5">
      <c r="B2" s="298">
        <f>SUM(B3:B33)</f>
        <v>19</v>
      </c>
      <c r="C2" s="298">
        <f t="shared" ref="C2" si="0">SUM(C3:C33)</f>
        <v>5.75</v>
      </c>
      <c r="D2" s="298">
        <f>SUM(D3:D33)</f>
        <v>2.5</v>
      </c>
      <c r="E2" s="298">
        <f t="shared" ref="E2:H2" si="1">SUM(E3:E33)</f>
        <v>0</v>
      </c>
      <c r="F2" s="298">
        <f>SUM(F3:F33)</f>
        <v>16</v>
      </c>
      <c r="G2" s="298">
        <f t="shared" si="1"/>
        <v>2</v>
      </c>
      <c r="H2" s="298">
        <f t="shared" si="1"/>
        <v>0</v>
      </c>
      <c r="I2" s="298">
        <f>SUM(I3:I30)/60</f>
        <v>1.4166666666666667</v>
      </c>
      <c r="J2" s="298"/>
      <c r="K2" s="287">
        <f>SUM(E2:G2)</f>
        <v>18</v>
      </c>
      <c r="L2" s="337"/>
      <c r="M2" s="335" t="s">
        <v>13</v>
      </c>
      <c r="N2" s="303" t="s">
        <v>15</v>
      </c>
      <c r="O2" s="303">
        <f>SUM(C3:E30)</f>
        <v>8.25</v>
      </c>
      <c r="P2" s="384"/>
      <c r="Q2" s="384"/>
    </row>
    <row r="3" spans="1:17" ht="16.5">
      <c r="A3" s="10">
        <v>46113</v>
      </c>
      <c r="B3" s="304">
        <v>4.5</v>
      </c>
      <c r="C3" s="299">
        <v>0.5</v>
      </c>
      <c r="D3" s="300"/>
      <c r="E3" s="300"/>
      <c r="F3" s="301"/>
      <c r="G3" s="269"/>
      <c r="H3" s="301"/>
      <c r="I3" s="298">
        <v>30</v>
      </c>
      <c r="J3" s="298" t="s">
        <v>328</v>
      </c>
      <c r="K3" s="337"/>
      <c r="L3" s="21" t="s">
        <v>25</v>
      </c>
      <c r="M3" s="311">
        <f>SUM(M4:M28)</f>
        <v>18</v>
      </c>
      <c r="N3" s="302" t="s">
        <v>16</v>
      </c>
      <c r="O3" s="302">
        <f>SUM(F3:H30)</f>
        <v>3</v>
      </c>
      <c r="P3" s="335">
        <f>SUM(P4:P32)</f>
        <v>14.5</v>
      </c>
    </row>
    <row r="4" spans="1:17" ht="16.5">
      <c r="A4" s="10">
        <v>46114</v>
      </c>
      <c r="B4" s="304"/>
      <c r="C4" s="300"/>
      <c r="D4" s="300"/>
      <c r="E4" s="300"/>
      <c r="F4" s="300"/>
      <c r="G4" s="298"/>
      <c r="H4" s="298"/>
      <c r="I4" s="298"/>
      <c r="J4" s="298"/>
      <c r="K4" s="337"/>
      <c r="L4" s="340" t="s">
        <v>219</v>
      </c>
      <c r="M4" s="312"/>
      <c r="P4" s="335">
        <v>1.5</v>
      </c>
    </row>
    <row r="5" spans="1:17" ht="16.5">
      <c r="A5" s="10">
        <v>46115</v>
      </c>
      <c r="B5" s="304"/>
      <c r="C5" s="300"/>
      <c r="D5" s="300"/>
      <c r="E5" s="300"/>
      <c r="F5" s="300"/>
      <c r="G5" s="298"/>
      <c r="H5" s="298"/>
      <c r="I5" s="298"/>
      <c r="J5" s="298"/>
      <c r="K5" s="337"/>
      <c r="L5" s="340" t="s">
        <v>256</v>
      </c>
      <c r="M5" s="313"/>
      <c r="N5" s="335" t="s">
        <v>260</v>
      </c>
      <c r="P5" s="335">
        <v>1</v>
      </c>
    </row>
    <row r="6" spans="1:17" ht="16.5">
      <c r="A6" s="10">
        <v>46116</v>
      </c>
      <c r="B6" s="304">
        <v>6.5</v>
      </c>
      <c r="C6" s="300">
        <v>3.5</v>
      </c>
      <c r="D6" s="300"/>
      <c r="E6" s="300"/>
      <c r="F6" s="300">
        <v>1</v>
      </c>
      <c r="G6" s="298"/>
      <c r="H6" s="298"/>
      <c r="I6" s="298">
        <v>18</v>
      </c>
      <c r="J6" s="298" t="s">
        <v>339</v>
      </c>
      <c r="K6" s="337"/>
      <c r="L6" s="339" t="s">
        <v>338</v>
      </c>
      <c r="M6" s="313"/>
      <c r="N6" s="18" t="s">
        <v>19</v>
      </c>
      <c r="O6" s="18" t="s">
        <v>21</v>
      </c>
    </row>
    <row r="7" spans="1:17" ht="16.5">
      <c r="A7" s="10">
        <v>46117</v>
      </c>
      <c r="B7" s="304">
        <v>6</v>
      </c>
      <c r="C7" s="300">
        <v>1.5</v>
      </c>
      <c r="D7" s="300">
        <v>2.5</v>
      </c>
      <c r="E7" s="300"/>
      <c r="F7" s="300"/>
      <c r="G7" s="298"/>
      <c r="H7" s="298"/>
      <c r="I7" s="298">
        <v>30</v>
      </c>
      <c r="J7" s="337" t="s">
        <v>342</v>
      </c>
      <c r="K7" s="337" t="s">
        <v>341</v>
      </c>
      <c r="L7" s="340" t="s">
        <v>230</v>
      </c>
      <c r="M7" s="326"/>
      <c r="N7" s="305" t="s">
        <v>186</v>
      </c>
      <c r="O7" s="46" t="s">
        <v>237</v>
      </c>
    </row>
    <row r="8" spans="1:17" ht="16.5">
      <c r="A8" s="10">
        <v>46118</v>
      </c>
      <c r="B8" s="304">
        <v>2</v>
      </c>
      <c r="C8" s="300">
        <v>0.25</v>
      </c>
      <c r="D8" s="300"/>
      <c r="E8" s="318"/>
      <c r="F8" s="300"/>
      <c r="G8" s="298">
        <v>2</v>
      </c>
      <c r="H8" s="298"/>
      <c r="I8" s="298">
        <v>7</v>
      </c>
      <c r="K8" s="14" t="s">
        <v>345</v>
      </c>
      <c r="L8" s="340" t="s">
        <v>263</v>
      </c>
      <c r="M8" s="327"/>
      <c r="N8" s="306" t="s">
        <v>189</v>
      </c>
      <c r="O8" s="48" t="s">
        <v>107</v>
      </c>
    </row>
    <row r="9" spans="1:17" ht="16.5">
      <c r="A9" s="10">
        <v>46119</v>
      </c>
      <c r="B9" s="304"/>
      <c r="C9" s="300"/>
      <c r="D9" s="300"/>
      <c r="E9" s="300"/>
      <c r="F9" s="300"/>
      <c r="G9" s="298"/>
      <c r="H9" s="298"/>
      <c r="I9" s="298"/>
      <c r="J9" s="298"/>
      <c r="K9" s="320"/>
      <c r="L9" s="340" t="s">
        <v>171</v>
      </c>
      <c r="M9" s="312"/>
      <c r="N9" s="335" t="s">
        <v>190</v>
      </c>
      <c r="O9" s="335" t="s">
        <v>192</v>
      </c>
    </row>
    <row r="10" spans="1:17" ht="16.5">
      <c r="A10" s="10">
        <v>46120</v>
      </c>
      <c r="B10" s="304"/>
      <c r="C10" s="300"/>
      <c r="D10" s="300"/>
      <c r="E10" s="300"/>
      <c r="F10" s="300"/>
      <c r="G10" s="298"/>
      <c r="H10" s="298"/>
      <c r="I10" s="317"/>
      <c r="J10" s="298"/>
      <c r="K10" s="321"/>
      <c r="L10" s="340"/>
      <c r="M10" s="313"/>
      <c r="N10" s="307" t="s">
        <v>191</v>
      </c>
      <c r="O10" s="223" t="s">
        <v>193</v>
      </c>
    </row>
    <row r="11" spans="1:17" ht="16.5">
      <c r="A11" s="10">
        <v>46121</v>
      </c>
      <c r="B11" s="304"/>
      <c r="C11" s="300"/>
      <c r="D11" s="300"/>
      <c r="E11" s="300"/>
      <c r="F11" s="300"/>
      <c r="G11" s="298"/>
      <c r="H11" s="298"/>
      <c r="I11" s="316"/>
      <c r="J11" s="298"/>
      <c r="K11" s="322"/>
      <c r="L11" s="340"/>
      <c r="M11" s="313"/>
      <c r="N11" s="306" t="s">
        <v>188</v>
      </c>
      <c r="O11" s="48" t="s">
        <v>115</v>
      </c>
    </row>
    <row r="12" spans="1:17" ht="16.5">
      <c r="A12" s="10">
        <v>46122</v>
      </c>
      <c r="B12" s="304"/>
      <c r="C12" s="300"/>
      <c r="D12" s="269"/>
      <c r="E12" s="269"/>
      <c r="F12" s="269"/>
      <c r="G12" s="269"/>
      <c r="H12" s="269"/>
      <c r="I12" s="269"/>
      <c r="J12" s="269"/>
      <c r="K12" s="323"/>
      <c r="L12" s="340" t="s">
        <v>343</v>
      </c>
      <c r="M12" s="313">
        <v>1.5</v>
      </c>
      <c r="N12" s="335" t="s">
        <v>194</v>
      </c>
      <c r="O12" s="335" t="s">
        <v>98</v>
      </c>
    </row>
    <row r="13" spans="1:17" ht="16.5">
      <c r="A13" s="10">
        <v>46123</v>
      </c>
      <c r="B13" s="304"/>
      <c r="C13" s="300"/>
      <c r="D13" s="300"/>
      <c r="E13" s="300"/>
      <c r="F13" s="300"/>
      <c r="G13" s="298"/>
      <c r="H13" s="298"/>
      <c r="I13" s="298"/>
      <c r="J13" s="298"/>
      <c r="K13" s="322"/>
      <c r="L13" s="340" t="s">
        <v>334</v>
      </c>
      <c r="M13" s="313">
        <v>1</v>
      </c>
      <c r="N13" s="306" t="s">
        <v>198</v>
      </c>
      <c r="O13" s="73" t="s">
        <v>197</v>
      </c>
      <c r="P13" s="335">
        <v>6</v>
      </c>
    </row>
    <row r="14" spans="1:17" ht="34.5" customHeight="1">
      <c r="A14" s="10">
        <v>46124</v>
      </c>
      <c r="B14" s="304"/>
      <c r="C14" s="300"/>
      <c r="D14" s="300"/>
      <c r="E14" s="300"/>
      <c r="F14" s="300"/>
      <c r="G14" s="298"/>
      <c r="H14" s="298"/>
      <c r="I14" s="298"/>
      <c r="J14" s="298"/>
      <c r="K14" s="324"/>
      <c r="L14" s="340" t="s">
        <v>335</v>
      </c>
      <c r="M14" s="314"/>
      <c r="N14" s="59" t="s">
        <v>195</v>
      </c>
      <c r="O14" s="59" t="s">
        <v>196</v>
      </c>
    </row>
    <row r="15" spans="1:17" ht="16.5">
      <c r="A15" s="10">
        <v>46125</v>
      </c>
      <c r="B15" s="304"/>
      <c r="C15" s="300"/>
      <c r="D15" s="300"/>
      <c r="E15" s="300"/>
      <c r="F15" s="300"/>
      <c r="G15" s="298"/>
      <c r="H15" s="298"/>
      <c r="I15" s="298"/>
      <c r="J15" s="298"/>
      <c r="K15" s="324"/>
      <c r="L15" s="340" t="s">
        <v>259</v>
      </c>
      <c r="M15" s="315"/>
      <c r="N15" s="308" t="s">
        <v>87</v>
      </c>
      <c r="O15" s="49" t="s">
        <v>3</v>
      </c>
    </row>
    <row r="16" spans="1:17" ht="16.5">
      <c r="A16" s="10">
        <v>46126</v>
      </c>
      <c r="B16" s="304"/>
      <c r="C16" s="300"/>
      <c r="D16" s="300"/>
      <c r="E16" s="300"/>
      <c r="F16" s="300"/>
      <c r="G16" s="298"/>
      <c r="H16" s="298"/>
      <c r="I16" s="298"/>
      <c r="J16" s="298"/>
      <c r="K16" s="324"/>
      <c r="L16" s="340" t="s">
        <v>344</v>
      </c>
      <c r="M16" s="313">
        <v>0.5</v>
      </c>
      <c r="N16" s="308" t="s">
        <v>199</v>
      </c>
      <c r="O16" s="49" t="s">
        <v>88</v>
      </c>
    </row>
    <row r="17" spans="1:16" ht="16.5">
      <c r="A17" s="10">
        <v>46127</v>
      </c>
      <c r="B17" s="304"/>
      <c r="C17" s="300"/>
      <c r="D17" s="300"/>
      <c r="E17" s="300"/>
      <c r="F17" s="300"/>
      <c r="G17" s="298"/>
      <c r="H17" s="298"/>
      <c r="I17" s="298"/>
      <c r="J17" s="298"/>
      <c r="K17" s="324"/>
      <c r="L17" s="340" t="s">
        <v>269</v>
      </c>
      <c r="M17" s="313"/>
      <c r="N17" s="308" t="s">
        <v>200</v>
      </c>
      <c r="O17" s="49" t="s">
        <v>51</v>
      </c>
    </row>
    <row r="18" spans="1:16" ht="16.5">
      <c r="A18" s="10">
        <v>46128</v>
      </c>
      <c r="B18" s="304"/>
      <c r="C18" s="300"/>
      <c r="D18" s="300"/>
      <c r="E18" s="300"/>
      <c r="F18" s="300"/>
      <c r="G18" s="298"/>
      <c r="H18" s="298"/>
      <c r="I18" s="298"/>
      <c r="J18" s="298"/>
      <c r="K18" s="324"/>
      <c r="L18" s="340"/>
      <c r="M18" s="313"/>
      <c r="N18" s="335" t="s">
        <v>130</v>
      </c>
    </row>
    <row r="19" spans="1:16" ht="16.5">
      <c r="A19" s="10">
        <v>46129</v>
      </c>
      <c r="B19" s="304"/>
      <c r="C19" s="300"/>
      <c r="D19" s="300"/>
      <c r="E19" s="300"/>
      <c r="F19" s="300"/>
      <c r="G19" s="298"/>
      <c r="H19" s="298"/>
      <c r="I19" s="298"/>
      <c r="J19" s="298"/>
      <c r="K19" s="325"/>
      <c r="L19" s="340"/>
      <c r="M19" s="326"/>
      <c r="N19" s="309"/>
      <c r="P19" s="336"/>
    </row>
    <row r="20" spans="1:16" ht="16.5">
      <c r="A20" s="10">
        <v>46130</v>
      </c>
      <c r="B20" s="304"/>
      <c r="C20" s="300"/>
      <c r="D20" s="300"/>
      <c r="E20" s="300"/>
      <c r="F20" s="298"/>
      <c r="G20" s="298"/>
      <c r="H20" s="298"/>
      <c r="I20" s="298"/>
      <c r="J20" s="298"/>
      <c r="K20" s="319"/>
      <c r="L20" s="340" t="s">
        <v>301</v>
      </c>
      <c r="M20" s="328"/>
      <c r="N20" s="310" t="s">
        <v>65</v>
      </c>
      <c r="O20" s="211">
        <v>10</v>
      </c>
      <c r="P20" s="336"/>
    </row>
    <row r="21" spans="1:16" ht="16.5">
      <c r="A21" s="10">
        <v>46131</v>
      </c>
      <c r="B21" s="304"/>
      <c r="C21" s="300"/>
      <c r="D21" s="300"/>
      <c r="E21" s="300"/>
      <c r="F21" s="298"/>
      <c r="G21" s="298"/>
      <c r="H21" s="298"/>
      <c r="I21" s="298"/>
      <c r="J21" s="298"/>
      <c r="K21" s="333"/>
      <c r="L21" s="340"/>
      <c r="M21" s="315"/>
      <c r="N21" s="310" t="s">
        <v>66</v>
      </c>
      <c r="O21" s="211">
        <v>20</v>
      </c>
      <c r="P21" s="267"/>
    </row>
    <row r="22" spans="1:16" ht="16.5">
      <c r="A22" s="10">
        <v>46132</v>
      </c>
      <c r="B22" s="304"/>
      <c r="C22" s="300"/>
      <c r="D22" s="300"/>
      <c r="E22" s="300"/>
      <c r="F22" s="298"/>
      <c r="G22" s="298"/>
      <c r="H22" s="298"/>
      <c r="I22" s="298"/>
      <c r="J22" s="298"/>
      <c r="K22" s="296"/>
      <c r="L22" s="341"/>
      <c r="M22" s="334"/>
      <c r="N22" s="310" t="s">
        <v>96</v>
      </c>
      <c r="O22" s="211">
        <v>30</v>
      </c>
      <c r="P22" s="267"/>
    </row>
    <row r="23" spans="1:16" ht="16.5">
      <c r="A23" s="10">
        <v>46133</v>
      </c>
      <c r="B23" s="304"/>
      <c r="C23" s="300"/>
      <c r="D23" s="300"/>
      <c r="E23" s="300"/>
      <c r="F23" s="298"/>
      <c r="G23" s="298"/>
      <c r="H23" s="298"/>
      <c r="I23" s="298"/>
      <c r="J23" s="298"/>
      <c r="K23" s="297"/>
      <c r="L23" s="340"/>
      <c r="M23" s="12"/>
      <c r="N23" s="212" t="s">
        <v>67</v>
      </c>
      <c r="O23" s="212">
        <v>20</v>
      </c>
      <c r="P23" s="267"/>
    </row>
    <row r="24" spans="1:16" ht="16.5">
      <c r="A24" s="10">
        <v>46134</v>
      </c>
      <c r="B24" s="304"/>
      <c r="C24" s="300"/>
      <c r="D24" s="300"/>
      <c r="E24" s="300"/>
      <c r="F24" s="298"/>
      <c r="G24" s="298"/>
      <c r="H24" s="298"/>
      <c r="I24" s="298"/>
      <c r="J24" s="298"/>
      <c r="K24" s="5"/>
      <c r="L24" s="340" t="s">
        <v>214</v>
      </c>
      <c r="M24" s="314">
        <v>15</v>
      </c>
      <c r="N24" s="212" t="s">
        <v>68</v>
      </c>
      <c r="O24" s="212">
        <v>10</v>
      </c>
    </row>
    <row r="25" spans="1:16" ht="16.5">
      <c r="A25" s="10">
        <v>46135</v>
      </c>
      <c r="B25" s="304"/>
      <c r="C25" s="300"/>
      <c r="D25" s="300"/>
      <c r="E25" s="300"/>
      <c r="F25" s="298"/>
      <c r="G25" s="298"/>
      <c r="H25" s="298"/>
      <c r="I25" s="269"/>
      <c r="J25" s="269"/>
      <c r="K25" s="337"/>
      <c r="L25" s="22"/>
      <c r="M25" s="12"/>
      <c r="N25" s="212" t="s">
        <v>22</v>
      </c>
      <c r="O25" s="212">
        <v>15</v>
      </c>
    </row>
    <row r="26" spans="1:16" ht="16.5">
      <c r="A26" s="10">
        <v>46136</v>
      </c>
      <c r="B26" s="304"/>
      <c r="C26" s="300"/>
      <c r="D26" s="300"/>
      <c r="E26" s="300"/>
      <c r="F26" s="298"/>
      <c r="G26" s="298"/>
      <c r="H26" s="298"/>
      <c r="I26" s="298"/>
      <c r="J26" s="298"/>
      <c r="K26" s="337"/>
      <c r="L26" s="11"/>
      <c r="M26" s="12"/>
      <c r="N26" s="214"/>
      <c r="O26" s="214"/>
    </row>
    <row r="27" spans="1:16" ht="16.5">
      <c r="A27" s="10">
        <v>46137</v>
      </c>
      <c r="B27" s="304"/>
      <c r="C27" s="300"/>
      <c r="D27" s="300"/>
      <c r="E27" s="300"/>
      <c r="F27" s="298"/>
      <c r="G27" s="298"/>
      <c r="H27" s="298"/>
      <c r="I27" s="298"/>
      <c r="J27" s="298"/>
      <c r="K27" s="337"/>
      <c r="L27" s="19"/>
      <c r="M27" s="12"/>
      <c r="N27" s="214" t="s">
        <v>98</v>
      </c>
      <c r="O27" s="214">
        <v>15</v>
      </c>
      <c r="P27" s="335">
        <v>6</v>
      </c>
    </row>
    <row r="28" spans="1:16" ht="16.5">
      <c r="A28" s="10">
        <v>46138</v>
      </c>
      <c r="B28" s="304"/>
      <c r="C28" s="300"/>
      <c r="D28" s="300"/>
      <c r="E28" s="300"/>
      <c r="F28" s="298"/>
      <c r="G28" s="298"/>
      <c r="H28" s="298"/>
      <c r="I28" s="298"/>
      <c r="J28" s="298"/>
      <c r="K28" s="337"/>
      <c r="L28" s="337"/>
    </row>
    <row r="29" spans="1:16" ht="16.5">
      <c r="A29" s="10">
        <v>46139</v>
      </c>
      <c r="B29" s="304"/>
      <c r="C29" s="300"/>
      <c r="D29" s="300"/>
      <c r="E29" s="300"/>
      <c r="F29" s="298"/>
      <c r="G29" s="298"/>
      <c r="H29" s="298"/>
      <c r="I29" s="298"/>
      <c r="J29" s="298"/>
      <c r="K29" s="337"/>
      <c r="L29" s="337"/>
    </row>
    <row r="30" spans="1:16" ht="16.5">
      <c r="A30" s="10">
        <v>46140</v>
      </c>
      <c r="B30" s="304"/>
      <c r="C30" s="300"/>
      <c r="D30" s="300"/>
      <c r="E30" s="300"/>
      <c r="F30" s="298"/>
      <c r="G30" s="298"/>
      <c r="H30" s="298"/>
      <c r="I30" s="298"/>
      <c r="J30" s="298"/>
      <c r="K30" s="5"/>
      <c r="L30" s="385"/>
      <c r="M30" s="385"/>
      <c r="N30" s="385"/>
      <c r="O30" s="385"/>
    </row>
    <row r="31" spans="1:16" ht="16.5">
      <c r="A31" s="10">
        <v>46141</v>
      </c>
      <c r="B31" s="304"/>
      <c r="C31" s="300"/>
      <c r="D31" s="300"/>
      <c r="E31" s="300"/>
      <c r="F31" s="298"/>
      <c r="G31" s="298"/>
      <c r="H31" s="298"/>
      <c r="I31" s="298"/>
      <c r="J31" s="298"/>
      <c r="K31" s="5"/>
      <c r="L31" s="337"/>
      <c r="M31" s="337"/>
      <c r="N31" s="337"/>
      <c r="O31" s="337"/>
    </row>
    <row r="32" spans="1:16" ht="16.5">
      <c r="A32" s="10">
        <v>46142</v>
      </c>
      <c r="B32" s="304"/>
      <c r="C32" s="300"/>
      <c r="D32" s="300"/>
      <c r="E32" s="300"/>
      <c r="F32" s="298"/>
      <c r="G32" s="298"/>
      <c r="H32" s="298"/>
      <c r="I32" s="298"/>
      <c r="J32" s="298"/>
      <c r="K32" s="5"/>
      <c r="L32" s="337"/>
      <c r="M32" s="337"/>
      <c r="N32" s="337"/>
      <c r="O32" s="337"/>
    </row>
    <row r="33" spans="1:15" ht="16.5">
      <c r="A33" s="10">
        <v>46112</v>
      </c>
      <c r="B33" s="337"/>
      <c r="C33" s="337"/>
      <c r="D33" s="337"/>
      <c r="E33" s="337"/>
      <c r="F33" s="337">
        <v>15</v>
      </c>
      <c r="G33" s="337"/>
      <c r="H33" s="337"/>
      <c r="I33" s="337"/>
      <c r="J33" s="337"/>
      <c r="L33" s="385"/>
      <c r="M33" s="385"/>
      <c r="N33" s="385"/>
      <c r="O33" s="385"/>
    </row>
    <row r="34" spans="1:15" ht="16.5">
      <c r="A34" s="337" t="s">
        <v>17</v>
      </c>
      <c r="B34" s="337">
        <v>3</v>
      </c>
      <c r="C34" s="337"/>
      <c r="D34" s="337"/>
      <c r="E34" s="337"/>
      <c r="F34" s="337"/>
      <c r="G34" s="337"/>
      <c r="H34" s="337"/>
      <c r="I34" s="337"/>
      <c r="J34" s="337"/>
      <c r="K34" s="337"/>
      <c r="L34" s="385"/>
      <c r="M34" s="385"/>
      <c r="N34" s="385"/>
      <c r="O34" s="385"/>
    </row>
    <row r="35" spans="1:15" ht="16.5">
      <c r="A35" s="337"/>
      <c r="B35" s="337"/>
      <c r="C35" s="337"/>
      <c r="D35" s="337"/>
      <c r="E35" s="337"/>
      <c r="F35" s="337"/>
      <c r="G35" s="337"/>
      <c r="H35" s="337"/>
      <c r="I35" s="337"/>
      <c r="J35" s="337"/>
      <c r="K35" s="337"/>
      <c r="L35" s="337"/>
    </row>
    <row r="36" spans="1:15" ht="16.5">
      <c r="A36" s="337"/>
      <c r="B36" s="337"/>
      <c r="C36" s="337"/>
      <c r="D36" s="337"/>
      <c r="E36" s="337"/>
      <c r="F36" s="337"/>
      <c r="G36" s="337"/>
      <c r="H36" s="337"/>
      <c r="I36" s="337"/>
      <c r="J36" s="337"/>
      <c r="K36" s="337"/>
      <c r="L36" s="337"/>
    </row>
    <row r="53" spans="4:8">
      <c r="D53" s="335" t="s">
        <v>20</v>
      </c>
      <c r="H53" s="335">
        <v>1</v>
      </c>
    </row>
    <row r="55" spans="4:8">
      <c r="H55" s="335">
        <v>1</v>
      </c>
    </row>
    <row r="56" spans="4:8">
      <c r="H56" s="335">
        <v>2</v>
      </c>
    </row>
    <row r="57" spans="4:8">
      <c r="E57" s="15"/>
    </row>
    <row r="58" spans="4:8">
      <c r="E58" s="15"/>
    </row>
    <row r="60" spans="4:8">
      <c r="E60" s="15"/>
    </row>
  </sheetData>
  <mergeCells count="4">
    <mergeCell ref="P1:Q2"/>
    <mergeCell ref="L30:O30"/>
    <mergeCell ref="L33:O33"/>
    <mergeCell ref="L34:O34"/>
  </mergeCells>
  <conditionalFormatting sqref="J1">
    <cfRule type="cellIs" priority="5" operator="lessThanOrEqual">
      <formula>$C$36</formula>
    </cfRule>
  </conditionalFormatting>
  <conditionalFormatting sqref="B3:B32">
    <cfRule type="cellIs" dxfId="78" priority="3" operator="lessThan">
      <formula>$B$34</formula>
    </cfRule>
    <cfRule type="cellIs" dxfId="77" priority="4" operator="greaterThan">
      <formula>$B$34</formula>
    </cfRule>
  </conditionalFormatting>
  <conditionalFormatting sqref="A3:A33">
    <cfRule type="expression" dxfId="76" priority="2">
      <formula>WEEKDAY(A3,2)&gt;5</formula>
    </cfRule>
  </conditionalFormatting>
  <conditionalFormatting sqref="I4:J6 I13:J32 I3 I9:J11 I7:I8">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M4" sqref="M4:N25"/>
    </sheetView>
  </sheetViews>
  <sheetFormatPr defaultColWidth="9.140625" defaultRowHeight="15"/>
  <cols>
    <col min="1" max="1" width="8.85546875" style="52" customWidth="1"/>
    <col min="2" max="2" width="6.28515625" style="52" customWidth="1"/>
    <col min="3" max="3" width="8.42578125" style="52" customWidth="1"/>
    <col min="4" max="4" width="6.42578125" style="52" customWidth="1"/>
    <col min="5" max="5" width="6.28515625" style="52" customWidth="1"/>
    <col min="6" max="7" width="7.28515625" style="52" customWidth="1"/>
    <col min="8" max="8" width="9.140625" style="52"/>
    <col min="9" max="9" width="6.42578125" style="52" customWidth="1"/>
    <col min="10" max="11" width="6.28515625" style="52" customWidth="1"/>
    <col min="12" max="12" width="77.5703125" style="52" customWidth="1"/>
    <col min="13" max="13" width="61.42578125" style="52" customWidth="1"/>
    <col min="14" max="14" width="12.5703125" style="52" customWidth="1"/>
    <col min="15" max="15" width="19.85546875" style="52" bestFit="1" customWidth="1"/>
    <col min="16" max="16384" width="9.140625" style="52"/>
  </cols>
  <sheetData>
    <row r="1" spans="1:16" ht="58.5" customHeight="1">
      <c r="A1" s="5" t="s">
        <v>12</v>
      </c>
      <c r="B1" s="6" t="s">
        <v>0</v>
      </c>
      <c r="C1" s="31" t="s">
        <v>58</v>
      </c>
      <c r="D1" s="31" t="s">
        <v>61</v>
      </c>
      <c r="E1" s="50" t="s">
        <v>53</v>
      </c>
      <c r="F1" s="32" t="s">
        <v>59</v>
      </c>
      <c r="G1" s="33" t="s">
        <v>70</v>
      </c>
      <c r="H1" s="33" t="s">
        <v>1</v>
      </c>
      <c r="I1" s="7" t="s">
        <v>60</v>
      </c>
      <c r="J1" s="60" t="s">
        <v>54</v>
      </c>
      <c r="K1" s="60" t="s">
        <v>55</v>
      </c>
      <c r="L1" s="55" t="s">
        <v>57</v>
      </c>
      <c r="M1" s="20" t="s">
        <v>2</v>
      </c>
      <c r="N1" s="37"/>
      <c r="O1" s="38" t="s">
        <v>34</v>
      </c>
      <c r="P1" s="39">
        <f>SUM(B3:B33)</f>
        <v>0</v>
      </c>
    </row>
    <row r="2" spans="1:16" ht="16.5">
      <c r="B2" s="54"/>
      <c r="C2" s="16"/>
      <c r="D2" s="16"/>
      <c r="E2" s="16"/>
      <c r="F2" s="16"/>
      <c r="G2" s="54"/>
      <c r="H2" s="54"/>
      <c r="I2" s="54"/>
      <c r="J2" s="61"/>
      <c r="K2" s="61"/>
      <c r="L2" s="54"/>
      <c r="M2" s="54"/>
      <c r="N2" s="52" t="s">
        <v>13</v>
      </c>
      <c r="O2" s="40" t="s">
        <v>35</v>
      </c>
      <c r="P2" s="40">
        <f>SUM(P3:P4)</f>
        <v>15</v>
      </c>
    </row>
    <row r="3" spans="1:16" ht="16.5">
      <c r="A3" s="65">
        <v>45778</v>
      </c>
      <c r="B3" s="30"/>
      <c r="C3" s="36"/>
      <c r="D3" s="16"/>
      <c r="E3" s="16"/>
      <c r="F3" s="16"/>
      <c r="H3" s="34"/>
      <c r="I3" s="34"/>
      <c r="J3" s="61"/>
      <c r="K3" s="61"/>
      <c r="L3" s="62"/>
      <c r="M3" s="21" t="s">
        <v>41</v>
      </c>
      <c r="N3" s="56" t="s">
        <v>43</v>
      </c>
      <c r="O3" s="41" t="s">
        <v>15</v>
      </c>
      <c r="P3" s="41">
        <f>SUM(C3:E33)</f>
        <v>0</v>
      </c>
    </row>
    <row r="4" spans="1:16" ht="28.5" customHeight="1">
      <c r="A4" s="65">
        <v>45779</v>
      </c>
      <c r="B4" s="30"/>
      <c r="C4" s="36"/>
      <c r="D4" s="16"/>
      <c r="E4" s="16"/>
      <c r="F4" s="16"/>
      <c r="G4" s="34"/>
      <c r="H4" s="34"/>
      <c r="I4" s="54"/>
      <c r="J4" s="61"/>
      <c r="K4" s="61"/>
      <c r="L4" s="62"/>
      <c r="M4" s="70"/>
      <c r="N4" s="71"/>
      <c r="O4" s="41" t="s">
        <v>16</v>
      </c>
      <c r="P4" s="41">
        <f>SUM(F3:I34)</f>
        <v>15</v>
      </c>
    </row>
    <row r="5" spans="1:16" ht="16.5">
      <c r="A5" s="65">
        <v>45780</v>
      </c>
      <c r="C5" s="36"/>
      <c r="D5" s="16"/>
      <c r="E5" s="16"/>
      <c r="F5" s="16"/>
      <c r="H5" s="59"/>
      <c r="I5" s="54"/>
      <c r="J5" s="61"/>
      <c r="K5" s="61"/>
      <c r="L5" s="62"/>
      <c r="M5" s="68"/>
      <c r="N5" s="69"/>
    </row>
    <row r="6" spans="1:16" ht="16.5">
      <c r="A6" s="65">
        <v>45781</v>
      </c>
      <c r="B6" s="30"/>
      <c r="C6" s="36"/>
      <c r="D6" s="16"/>
      <c r="E6" s="16"/>
      <c r="F6" s="16"/>
      <c r="G6" s="34"/>
      <c r="H6" s="34"/>
      <c r="I6" s="54"/>
      <c r="J6" s="61"/>
      <c r="K6" s="61"/>
      <c r="L6" s="62"/>
      <c r="M6" s="24"/>
      <c r="N6" s="56"/>
      <c r="O6" s="18" t="s">
        <v>19</v>
      </c>
      <c r="P6" s="18" t="s">
        <v>21</v>
      </c>
    </row>
    <row r="7" spans="1:16" ht="16.5">
      <c r="A7" s="65">
        <v>45782</v>
      </c>
      <c r="B7" s="30"/>
      <c r="C7" s="36"/>
      <c r="D7" s="16"/>
      <c r="E7" s="16"/>
      <c r="F7" s="16"/>
      <c r="G7" s="34"/>
      <c r="H7" s="34"/>
      <c r="I7" s="54"/>
      <c r="J7" s="61"/>
      <c r="K7" s="61"/>
      <c r="L7" s="62"/>
      <c r="M7" s="26"/>
      <c r="N7" s="56"/>
      <c r="O7" s="45" t="s">
        <v>71</v>
      </c>
      <c r="P7" s="46" t="s">
        <v>72</v>
      </c>
    </row>
    <row r="8" spans="1:16" ht="16.5">
      <c r="A8" s="65">
        <v>45783</v>
      </c>
      <c r="B8" s="30"/>
      <c r="C8" s="36"/>
      <c r="D8" s="16"/>
      <c r="E8" s="16"/>
      <c r="F8" s="16"/>
      <c r="G8" s="34"/>
      <c r="H8" s="34"/>
      <c r="I8" s="54"/>
      <c r="J8" s="61"/>
      <c r="K8" s="61"/>
      <c r="L8" s="62"/>
      <c r="M8" s="25"/>
      <c r="N8" s="56"/>
      <c r="O8" s="48" t="s">
        <v>73</v>
      </c>
      <c r="P8" s="48">
        <v>0.75</v>
      </c>
    </row>
    <row r="9" spans="1:16" ht="16.5">
      <c r="A9" s="65">
        <v>45784</v>
      </c>
      <c r="B9" s="30"/>
      <c r="C9" s="36"/>
      <c r="D9" s="16"/>
      <c r="E9" s="16"/>
      <c r="F9" s="16"/>
      <c r="G9" s="34"/>
      <c r="H9" s="34"/>
      <c r="I9" s="54"/>
      <c r="J9" s="61"/>
      <c r="K9" s="61"/>
      <c r="L9" s="62"/>
      <c r="M9" s="43"/>
      <c r="N9" s="56"/>
      <c r="O9" s="46" t="s">
        <v>75</v>
      </c>
      <c r="P9" s="46" t="s">
        <v>23</v>
      </c>
    </row>
    <row r="10" spans="1:16" ht="16.5">
      <c r="A10" s="65">
        <v>45785</v>
      </c>
      <c r="B10" s="30"/>
      <c r="C10" s="36"/>
      <c r="D10" s="16"/>
      <c r="E10" s="16"/>
      <c r="F10" s="16"/>
      <c r="G10" s="34"/>
      <c r="H10" s="34"/>
      <c r="I10" s="54"/>
      <c r="J10" s="61"/>
      <c r="K10" s="61"/>
      <c r="L10" s="62"/>
      <c r="M10" s="47"/>
      <c r="N10" s="56"/>
      <c r="O10" s="73" t="s">
        <v>80</v>
      </c>
      <c r="P10" s="48">
        <v>3</v>
      </c>
    </row>
    <row r="11" spans="1:16" ht="16.5">
      <c r="A11" s="65">
        <v>45786</v>
      </c>
      <c r="B11" s="30"/>
      <c r="C11" s="36"/>
      <c r="D11" s="16"/>
      <c r="E11" s="16"/>
      <c r="F11" s="16"/>
      <c r="G11" s="34"/>
      <c r="H11" s="34"/>
      <c r="I11" s="54"/>
      <c r="J11" s="61"/>
      <c r="K11" s="61"/>
      <c r="L11" s="62"/>
      <c r="M11" s="24"/>
      <c r="N11" s="56"/>
      <c r="O11" s="52" t="s">
        <v>45</v>
      </c>
    </row>
    <row r="12" spans="1:16" ht="16.5">
      <c r="A12" s="65">
        <v>45787</v>
      </c>
      <c r="B12" s="30"/>
      <c r="C12" s="36"/>
      <c r="D12" s="16"/>
      <c r="F12" s="16"/>
      <c r="G12" s="34"/>
      <c r="H12" s="34"/>
      <c r="I12" s="54"/>
      <c r="J12" s="61"/>
      <c r="K12" s="61"/>
      <c r="L12" s="62"/>
      <c r="M12" s="26"/>
      <c r="N12" s="56"/>
      <c r="O12" s="49" t="s">
        <v>46</v>
      </c>
      <c r="P12" s="49" t="s">
        <v>3</v>
      </c>
    </row>
    <row r="13" spans="1:16" ht="16.5">
      <c r="A13" s="65">
        <v>45788</v>
      </c>
      <c r="B13" s="30"/>
      <c r="C13" s="36"/>
      <c r="D13" s="16"/>
      <c r="E13" s="16"/>
      <c r="F13" s="16"/>
      <c r="G13" s="34"/>
      <c r="H13" s="34"/>
      <c r="I13" s="54"/>
      <c r="J13" s="61"/>
      <c r="K13" s="61"/>
      <c r="L13" s="62"/>
      <c r="M13" s="24"/>
      <c r="N13" s="56"/>
      <c r="O13" s="49" t="s">
        <v>47</v>
      </c>
      <c r="P13" s="49" t="s">
        <v>48</v>
      </c>
    </row>
    <row r="14" spans="1:16" ht="18" customHeight="1">
      <c r="A14" s="65">
        <v>45789</v>
      </c>
      <c r="B14" s="30"/>
      <c r="C14" s="36"/>
      <c r="D14" s="16"/>
      <c r="E14" s="16"/>
      <c r="F14" s="16"/>
      <c r="G14" s="34"/>
      <c r="H14" s="34"/>
      <c r="I14" s="54"/>
      <c r="J14" s="61"/>
      <c r="K14" s="61"/>
      <c r="L14" s="62"/>
      <c r="M14" s="24"/>
      <c r="N14" s="56"/>
      <c r="O14" s="49" t="s">
        <v>49</v>
      </c>
      <c r="P14" s="49" t="s">
        <v>50</v>
      </c>
    </row>
    <row r="15" spans="1:16" ht="16.5">
      <c r="A15" s="65">
        <v>45790</v>
      </c>
      <c r="B15" s="30"/>
      <c r="C15" s="36"/>
      <c r="D15" s="16"/>
      <c r="E15" s="16"/>
      <c r="F15" s="16"/>
      <c r="G15" s="34"/>
      <c r="H15" s="34"/>
      <c r="I15" s="54"/>
      <c r="J15" s="61"/>
      <c r="K15" s="61"/>
      <c r="L15" s="62"/>
      <c r="M15" s="24"/>
      <c r="N15" s="56"/>
      <c r="O15" s="49" t="s">
        <v>63</v>
      </c>
      <c r="P15" s="49" t="s">
        <v>51</v>
      </c>
    </row>
    <row r="16" spans="1:16" ht="16.5">
      <c r="A16" s="65">
        <v>45791</v>
      </c>
      <c r="B16" s="30"/>
      <c r="C16" s="36"/>
      <c r="D16" s="16"/>
      <c r="E16" s="16"/>
      <c r="F16" s="16"/>
      <c r="G16" s="34"/>
      <c r="H16" s="34"/>
      <c r="I16" s="54"/>
      <c r="J16" s="61"/>
      <c r="K16" s="61"/>
      <c r="L16" s="62"/>
      <c r="M16" s="24"/>
      <c r="N16" s="56"/>
      <c r="O16" s="386" t="s">
        <v>74</v>
      </c>
      <c r="P16" s="387"/>
    </row>
    <row r="17" spans="1:17" ht="16.5">
      <c r="A17" s="65">
        <v>45792</v>
      </c>
      <c r="B17" s="30"/>
      <c r="C17" s="36"/>
      <c r="D17" s="16"/>
      <c r="E17" s="16"/>
      <c r="F17" s="16"/>
      <c r="G17" s="34"/>
      <c r="H17" s="34"/>
      <c r="I17" s="54"/>
      <c r="J17" s="61"/>
      <c r="K17" s="61"/>
      <c r="L17" s="62"/>
      <c r="M17" s="47"/>
      <c r="N17" s="56"/>
    </row>
    <row r="18" spans="1:17" ht="16.5">
      <c r="A18" s="65">
        <v>45793</v>
      </c>
      <c r="B18" s="30"/>
      <c r="C18" s="36"/>
      <c r="D18" s="16"/>
      <c r="E18" s="16"/>
      <c r="F18" s="16"/>
      <c r="G18" s="34"/>
      <c r="H18" s="34"/>
      <c r="I18" s="54"/>
      <c r="J18" s="61"/>
      <c r="K18" s="61"/>
      <c r="L18" s="62"/>
      <c r="M18" s="27"/>
      <c r="N18" s="56"/>
      <c r="O18" s="72" t="s">
        <v>76</v>
      </c>
      <c r="P18" s="52">
        <v>1</v>
      </c>
    </row>
    <row r="19" spans="1:17" ht="16.5">
      <c r="A19" s="65">
        <v>45794</v>
      </c>
      <c r="B19" s="30"/>
      <c r="C19" s="36"/>
      <c r="D19" s="16"/>
      <c r="E19" s="16"/>
      <c r="F19" s="16"/>
      <c r="G19" s="34"/>
      <c r="H19" s="34"/>
      <c r="I19" s="54"/>
      <c r="J19" s="61"/>
      <c r="K19" s="61"/>
      <c r="L19" s="62"/>
      <c r="M19" s="47"/>
      <c r="N19" s="67"/>
      <c r="O19" s="51" t="s">
        <v>77</v>
      </c>
      <c r="P19" s="51">
        <v>0.5</v>
      </c>
      <c r="Q19" s="51"/>
    </row>
    <row r="20" spans="1:17" ht="16.5">
      <c r="A20" s="65">
        <v>45795</v>
      </c>
      <c r="B20" s="30"/>
      <c r="D20" s="36"/>
      <c r="E20" s="16"/>
      <c r="F20" s="16"/>
      <c r="G20" s="34"/>
      <c r="H20" s="34"/>
      <c r="I20" s="54"/>
      <c r="J20" s="61"/>
      <c r="K20" s="61"/>
      <c r="L20" s="62"/>
      <c r="M20" s="24"/>
      <c r="N20" s="56"/>
      <c r="O20" s="51"/>
      <c r="P20" s="51"/>
      <c r="Q20" s="51"/>
    </row>
    <row r="21" spans="1:17" ht="16.5">
      <c r="A21" s="65">
        <v>45796</v>
      </c>
      <c r="B21" s="30"/>
      <c r="C21" s="36"/>
      <c r="D21" s="16"/>
      <c r="E21" s="16"/>
      <c r="F21" s="16"/>
      <c r="G21" s="34"/>
      <c r="H21" s="34"/>
      <c r="I21" s="54"/>
      <c r="J21" s="61"/>
      <c r="K21" s="61"/>
      <c r="L21" s="62"/>
      <c r="M21" s="28"/>
      <c r="N21" s="57"/>
      <c r="O21" s="51"/>
      <c r="P21" s="53"/>
      <c r="Q21" s="53"/>
    </row>
    <row r="22" spans="1:17" ht="16.5">
      <c r="A22" s="65">
        <v>45797</v>
      </c>
      <c r="B22" s="30"/>
      <c r="C22" s="36"/>
      <c r="D22" s="16"/>
      <c r="E22" s="16"/>
      <c r="F22" s="16"/>
      <c r="G22" s="34"/>
      <c r="H22" s="34"/>
      <c r="I22" s="54"/>
      <c r="J22" s="61"/>
      <c r="K22" s="61"/>
      <c r="L22" s="62"/>
      <c r="M22" s="42"/>
      <c r="N22" s="58"/>
      <c r="O22" s="53" t="s">
        <v>17</v>
      </c>
      <c r="P22" s="53"/>
      <c r="Q22" s="53"/>
    </row>
    <row r="23" spans="1:17" ht="16.5">
      <c r="A23" s="65">
        <v>45798</v>
      </c>
      <c r="B23" s="30"/>
      <c r="C23" s="36"/>
      <c r="D23" s="16"/>
      <c r="E23" s="16"/>
      <c r="F23" s="16"/>
      <c r="G23" s="34"/>
      <c r="H23" s="34"/>
      <c r="I23" s="54"/>
      <c r="J23" s="61"/>
      <c r="K23" s="61"/>
      <c r="L23" s="62"/>
      <c r="M23" s="63"/>
      <c r="N23" s="58"/>
      <c r="O23" s="53" t="s">
        <v>79</v>
      </c>
      <c r="P23" s="53"/>
      <c r="Q23" s="53"/>
    </row>
    <row r="24" spans="1:17" ht="16.5">
      <c r="A24" s="65">
        <v>45799</v>
      </c>
      <c r="B24" s="30"/>
      <c r="C24" s="36"/>
      <c r="D24" s="16"/>
      <c r="E24" s="16"/>
      <c r="F24" s="16"/>
      <c r="G24" s="34"/>
      <c r="H24" s="34"/>
      <c r="I24" s="54"/>
      <c r="J24" s="61"/>
      <c r="K24" s="61"/>
      <c r="L24" s="62"/>
      <c r="M24" s="74"/>
      <c r="N24" s="58"/>
      <c r="O24" s="53"/>
    </row>
    <row r="25" spans="1:17" ht="16.5">
      <c r="A25" s="65">
        <v>45800</v>
      </c>
      <c r="B25" s="30"/>
      <c r="C25" s="36"/>
      <c r="D25" s="16"/>
      <c r="E25" s="16"/>
      <c r="F25" s="16"/>
      <c r="G25" s="34"/>
      <c r="H25" s="34"/>
      <c r="J25" s="61"/>
      <c r="K25" s="61"/>
      <c r="L25" s="62"/>
      <c r="M25" s="11"/>
      <c r="N25" s="44"/>
    </row>
    <row r="26" spans="1:17" ht="16.5">
      <c r="A26" s="65">
        <v>45801</v>
      </c>
      <c r="B26" s="30"/>
      <c r="C26" s="36"/>
      <c r="D26" s="16"/>
      <c r="E26" s="16"/>
      <c r="F26" s="16"/>
      <c r="G26" s="34"/>
      <c r="H26" s="34"/>
      <c r="I26" s="54"/>
      <c r="J26" s="61"/>
      <c r="K26" s="61"/>
      <c r="L26" s="62"/>
      <c r="M26" s="19"/>
      <c r="N26" s="12"/>
    </row>
    <row r="27" spans="1:17" ht="16.5">
      <c r="A27" s="65">
        <v>45802</v>
      </c>
      <c r="B27" s="30"/>
      <c r="C27" s="36"/>
      <c r="D27" s="16"/>
      <c r="E27" s="16"/>
      <c r="F27" s="16"/>
      <c r="G27" s="34"/>
      <c r="H27" s="34"/>
      <c r="I27" s="54"/>
      <c r="J27" s="61"/>
      <c r="K27" s="61"/>
      <c r="L27" s="62"/>
      <c r="M27" s="54" t="s">
        <v>52</v>
      </c>
    </row>
    <row r="28" spans="1:17" ht="42" customHeight="1">
      <c r="A28" s="65">
        <v>45803</v>
      </c>
      <c r="B28" s="30"/>
      <c r="C28" s="36"/>
      <c r="D28" s="16"/>
      <c r="E28" s="16"/>
      <c r="F28" s="16"/>
      <c r="G28" s="34"/>
      <c r="H28" s="34"/>
      <c r="I28" s="54"/>
      <c r="J28" s="61"/>
      <c r="K28" s="61"/>
      <c r="L28" s="62"/>
      <c r="M28" s="388" t="s">
        <v>83</v>
      </c>
      <c r="N28" s="388"/>
      <c r="O28" s="388"/>
      <c r="P28" s="388"/>
      <c r="Q28" s="388"/>
    </row>
    <row r="29" spans="1:17" ht="27" customHeight="1">
      <c r="A29" s="65">
        <v>45804</v>
      </c>
      <c r="B29" s="30"/>
      <c r="C29" s="36"/>
      <c r="D29" s="16"/>
      <c r="E29" s="16"/>
      <c r="F29" s="16"/>
      <c r="G29" s="34"/>
      <c r="H29" s="34"/>
      <c r="I29" s="54"/>
      <c r="J29" s="61"/>
      <c r="K29" s="61"/>
      <c r="L29" s="62"/>
      <c r="M29" s="388"/>
      <c r="N29" s="388"/>
      <c r="O29" s="388"/>
      <c r="P29" s="388"/>
      <c r="Q29" s="388"/>
    </row>
    <row r="30" spans="1:17" ht="31.5" customHeight="1">
      <c r="A30" s="65">
        <v>45805</v>
      </c>
      <c r="B30" s="30"/>
      <c r="C30" s="36"/>
      <c r="D30" s="16"/>
      <c r="E30" s="16"/>
      <c r="F30" s="16"/>
      <c r="G30" s="34"/>
      <c r="H30" s="34"/>
      <c r="I30" s="54"/>
      <c r="J30" s="61"/>
      <c r="K30" s="61"/>
      <c r="L30" s="62"/>
      <c r="M30" s="52" t="s">
        <v>56</v>
      </c>
    </row>
    <row r="31" spans="1:17" ht="16.5">
      <c r="A31" s="65">
        <v>45806</v>
      </c>
      <c r="B31" s="30"/>
      <c r="C31" s="36"/>
      <c r="D31" s="16"/>
      <c r="E31" s="16"/>
      <c r="F31" s="16"/>
      <c r="G31" s="34"/>
      <c r="H31" s="34"/>
      <c r="I31" s="54"/>
      <c r="J31" s="61"/>
      <c r="K31" s="61"/>
      <c r="L31" s="62"/>
      <c r="O31" s="64" t="s">
        <v>65</v>
      </c>
      <c r="P31" s="64">
        <v>10</v>
      </c>
    </row>
    <row r="32" spans="1:17" ht="16.5">
      <c r="A32" s="65">
        <v>45807</v>
      </c>
      <c r="B32" s="30"/>
      <c r="C32" s="36"/>
      <c r="D32" s="16"/>
      <c r="E32" s="16"/>
      <c r="F32" s="16"/>
      <c r="G32" s="34"/>
      <c r="H32" s="34"/>
      <c r="I32" s="54"/>
      <c r="J32" s="61"/>
      <c r="K32" s="61"/>
      <c r="L32" s="62"/>
      <c r="O32" s="64" t="s">
        <v>66</v>
      </c>
      <c r="P32" s="64">
        <v>15</v>
      </c>
    </row>
    <row r="33" spans="1:17" ht="16.5">
      <c r="A33" s="65">
        <v>45808</v>
      </c>
      <c r="B33" s="30"/>
      <c r="C33" s="36"/>
      <c r="D33" s="16"/>
      <c r="E33" s="16"/>
      <c r="G33" s="34"/>
      <c r="H33" s="34"/>
      <c r="I33" s="54"/>
      <c r="J33" s="61"/>
      <c r="K33" s="61"/>
      <c r="L33" s="62"/>
      <c r="M33" s="54"/>
      <c r="O33" s="66" t="s">
        <v>64</v>
      </c>
      <c r="P33" s="64">
        <v>15</v>
      </c>
      <c r="Q33" s="54"/>
    </row>
    <row r="34" spans="1:17" ht="16.5">
      <c r="A34" s="54"/>
      <c r="B34" s="54"/>
      <c r="C34" s="54"/>
      <c r="D34" s="54"/>
      <c r="E34" s="54"/>
      <c r="F34" s="54"/>
      <c r="G34" s="34">
        <v>15</v>
      </c>
      <c r="H34" s="34"/>
      <c r="I34" s="54"/>
      <c r="J34" s="54"/>
      <c r="K34" s="54"/>
      <c r="L34" s="54"/>
      <c r="O34" s="64" t="s">
        <v>67</v>
      </c>
      <c r="P34" s="64">
        <v>20</v>
      </c>
    </row>
    <row r="35" spans="1:17">
      <c r="A35" s="52" t="s">
        <v>17</v>
      </c>
      <c r="B35" s="52">
        <v>3.5</v>
      </c>
      <c r="O35" s="64" t="s">
        <v>68</v>
      </c>
      <c r="P35" s="64">
        <v>15</v>
      </c>
    </row>
    <row r="36" spans="1:17">
      <c r="O36" s="64" t="s">
        <v>22</v>
      </c>
      <c r="P36" s="64">
        <v>15</v>
      </c>
    </row>
    <row r="37" spans="1:17">
      <c r="O37" s="64" t="s">
        <v>69</v>
      </c>
      <c r="P37" s="64">
        <f>SUM(P31:P36)/60</f>
        <v>1.5</v>
      </c>
    </row>
    <row r="55" spans="5:5">
      <c r="E55" s="15"/>
    </row>
    <row r="56" spans="5:5">
      <c r="E56" s="15"/>
    </row>
    <row r="58" spans="5:5">
      <c r="E58" s="15"/>
    </row>
  </sheetData>
  <mergeCells count="2">
    <mergeCell ref="O16:P16"/>
    <mergeCell ref="M28:Q29"/>
  </mergeCells>
  <conditionalFormatting sqref="B3:B4 B6:B33">
    <cfRule type="cellIs" dxfId="71" priority="2" operator="lessThan">
      <formula>$B$35</formula>
    </cfRule>
    <cfRule type="cellIs" dxfId="70" priority="3" operator="between">
      <formula>$B$35</formula>
      <formula>3</formula>
    </cfRule>
    <cfRule type="cellIs" dxfId="69" priority="4" operator="greaterThan">
      <formula>$B$35</formula>
    </cfRule>
  </conditionalFormatting>
  <conditionalFormatting sqref="A3:A33">
    <cfRule type="expression" dxfId="68" priority="1">
      <formula>WEEKDAY(A3,2)&gt;5</formula>
    </cfRule>
  </conditionalFormatting>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2" activePane="bottomLeft" state="frozen"/>
      <selection pane="bottomLeft" activeCell="F13" sqref="F13"/>
    </sheetView>
  </sheetViews>
  <sheetFormatPr defaultColWidth="9.140625" defaultRowHeight="15"/>
  <cols>
    <col min="1" max="1" width="8.85546875" style="170" customWidth="1"/>
    <col min="2" max="2" width="6.28515625" style="170" customWidth="1"/>
    <col min="3" max="3" width="8.42578125" style="170" customWidth="1"/>
    <col min="4" max="4" width="6.42578125" style="170" customWidth="1"/>
    <col min="5" max="5" width="6.28515625" style="170" customWidth="1"/>
    <col min="6" max="6" width="9.140625" style="170" customWidth="1"/>
    <col min="7" max="7" width="9.140625" style="170"/>
    <col min="8" max="8" width="6.42578125" style="170" customWidth="1"/>
    <col min="9" max="9" width="77.5703125" style="170" customWidth="1"/>
    <col min="10" max="10" width="61.42578125" style="170" customWidth="1"/>
    <col min="11" max="11" width="12.5703125" style="170" customWidth="1"/>
    <col min="12" max="12" width="19.85546875" style="170" bestFit="1" customWidth="1"/>
    <col min="13" max="16384" width="9.140625" style="170"/>
  </cols>
  <sheetData>
    <row r="1" spans="1:13" ht="58.5" customHeight="1">
      <c r="A1" s="5" t="s">
        <v>12</v>
      </c>
      <c r="B1" s="6" t="s">
        <v>0</v>
      </c>
      <c r="C1" s="81" t="s">
        <v>58</v>
      </c>
      <c r="D1" s="81" t="s">
        <v>61</v>
      </c>
      <c r="E1" s="82" t="s">
        <v>53</v>
      </c>
      <c r="F1" s="33" t="s">
        <v>70</v>
      </c>
      <c r="G1" s="33" t="s">
        <v>1</v>
      </c>
      <c r="H1" s="32" t="s">
        <v>89</v>
      </c>
      <c r="I1" s="55" t="s">
        <v>91</v>
      </c>
      <c r="J1" s="20" t="s">
        <v>2</v>
      </c>
      <c r="K1" s="37"/>
      <c r="L1" s="38" t="s">
        <v>34</v>
      </c>
      <c r="M1" s="39">
        <f>SUM(B3:B33)</f>
        <v>0</v>
      </c>
    </row>
    <row r="2" spans="1:13" ht="16.5">
      <c r="B2" s="173"/>
      <c r="C2" s="92"/>
      <c r="D2" s="92"/>
      <c r="E2" s="16"/>
      <c r="F2" s="173"/>
      <c r="G2" s="173"/>
      <c r="H2" s="16"/>
      <c r="I2" s="173"/>
      <c r="J2" s="173"/>
      <c r="K2" s="170" t="s">
        <v>13</v>
      </c>
      <c r="L2" s="40" t="s">
        <v>35</v>
      </c>
      <c r="M2" s="40">
        <f>SUM(M3:M4)</f>
        <v>15</v>
      </c>
    </row>
    <row r="3" spans="1:13" ht="16.5">
      <c r="A3" s="65">
        <v>45809</v>
      </c>
      <c r="B3" s="91"/>
      <c r="C3" s="93"/>
      <c r="D3" s="153"/>
      <c r="E3" s="154"/>
      <c r="F3" s="162"/>
      <c r="G3" s="156"/>
      <c r="H3" s="16"/>
      <c r="I3" s="62"/>
      <c r="J3" s="21" t="s">
        <v>41</v>
      </c>
      <c r="K3" s="56" t="s">
        <v>43</v>
      </c>
      <c r="L3" s="41" t="s">
        <v>15</v>
      </c>
      <c r="M3" s="41">
        <f>SUM(C3:E33)</f>
        <v>0</v>
      </c>
    </row>
    <row r="4" spans="1:13" ht="19.5" customHeight="1">
      <c r="A4" s="65">
        <v>45810</v>
      </c>
      <c r="B4" s="91"/>
      <c r="C4" s="93"/>
      <c r="D4" s="153"/>
      <c r="E4" s="157"/>
      <c r="F4" s="148"/>
      <c r="G4" s="158"/>
      <c r="H4" s="16"/>
      <c r="I4" s="62"/>
      <c r="J4" s="83"/>
      <c r="K4" s="84"/>
      <c r="L4" s="41" t="s">
        <v>90</v>
      </c>
      <c r="M4" s="41">
        <f>SUM(F3:H34)</f>
        <v>15</v>
      </c>
    </row>
    <row r="5" spans="1:13" ht="16.5">
      <c r="A5" s="65">
        <v>45811</v>
      </c>
      <c r="C5" s="93"/>
      <c r="D5" s="153"/>
      <c r="E5" s="157"/>
      <c r="F5" s="155"/>
      <c r="G5" s="163"/>
      <c r="H5" s="16"/>
      <c r="I5" s="62"/>
      <c r="J5" s="85"/>
      <c r="K5" s="86"/>
    </row>
    <row r="6" spans="1:13" ht="16.5">
      <c r="A6" s="65">
        <v>45812</v>
      </c>
      <c r="B6" s="91"/>
      <c r="C6" s="93"/>
      <c r="D6" s="154"/>
      <c r="E6" s="157"/>
      <c r="F6" s="148"/>
      <c r="G6" s="158"/>
      <c r="H6" s="16"/>
      <c r="I6" s="62" t="s">
        <v>279</v>
      </c>
      <c r="J6" s="83"/>
      <c r="K6" s="84"/>
      <c r="L6" s="18" t="s">
        <v>19</v>
      </c>
      <c r="M6" s="18" t="s">
        <v>21</v>
      </c>
    </row>
    <row r="7" spans="1:13" ht="16.5">
      <c r="A7" s="65">
        <v>45813</v>
      </c>
      <c r="B7" s="91"/>
      <c r="C7" s="93"/>
      <c r="D7" s="142"/>
      <c r="E7" s="157"/>
      <c r="F7" s="148"/>
      <c r="G7" s="158"/>
      <c r="H7" s="16"/>
      <c r="I7" s="62"/>
      <c r="J7" s="87"/>
      <c r="K7" s="84"/>
      <c r="L7" s="45" t="s">
        <v>92</v>
      </c>
      <c r="M7" s="46" t="s">
        <v>84</v>
      </c>
    </row>
    <row r="8" spans="1:13" ht="16.5">
      <c r="A8" s="65">
        <v>45814</v>
      </c>
      <c r="B8" s="91"/>
      <c r="C8" s="93"/>
      <c r="D8" s="140"/>
      <c r="E8" s="157"/>
      <c r="F8" s="148"/>
      <c r="G8" s="158"/>
      <c r="H8" s="16"/>
      <c r="I8" s="62"/>
      <c r="J8" s="88"/>
      <c r="K8" s="84"/>
      <c r="L8" s="48"/>
      <c r="M8" s="48"/>
    </row>
    <row r="9" spans="1:13" ht="16.5">
      <c r="A9" s="65">
        <v>45815</v>
      </c>
      <c r="B9" s="91"/>
      <c r="C9" s="93"/>
      <c r="D9" s="140"/>
      <c r="E9" s="157"/>
      <c r="F9" s="148"/>
      <c r="G9" s="158"/>
      <c r="H9" s="16"/>
      <c r="I9" s="62"/>
      <c r="J9" s="84"/>
      <c r="K9" s="84"/>
      <c r="L9" s="46" t="s">
        <v>42</v>
      </c>
      <c r="M9" s="46" t="s">
        <v>23</v>
      </c>
    </row>
    <row r="10" spans="1:13" ht="16.5">
      <c r="A10" s="65">
        <v>45816</v>
      </c>
      <c r="B10" s="91"/>
      <c r="C10" s="93"/>
      <c r="D10" s="140"/>
      <c r="E10" s="157"/>
      <c r="F10" s="148"/>
      <c r="G10" s="158"/>
      <c r="H10" s="173"/>
      <c r="I10" s="62"/>
      <c r="J10" s="84"/>
      <c r="K10" s="84"/>
      <c r="L10" s="73" t="s">
        <v>85</v>
      </c>
      <c r="M10" s="48">
        <v>3</v>
      </c>
    </row>
    <row r="11" spans="1:13" ht="16.5">
      <c r="A11" s="65">
        <v>45817</v>
      </c>
      <c r="B11" s="91"/>
      <c r="C11" s="93"/>
      <c r="D11" s="140"/>
      <c r="E11" s="157"/>
      <c r="F11" s="148"/>
      <c r="G11" s="158"/>
      <c r="H11" s="173"/>
      <c r="I11" s="62"/>
      <c r="J11" s="83"/>
      <c r="K11" s="84"/>
      <c r="L11" s="170" t="s">
        <v>86</v>
      </c>
    </row>
    <row r="12" spans="1:13" ht="16.5">
      <c r="A12" s="65">
        <v>45818</v>
      </c>
      <c r="B12" s="91"/>
      <c r="C12" s="93"/>
      <c r="D12" s="140"/>
      <c r="E12" s="164"/>
      <c r="F12" s="148"/>
      <c r="G12" s="158"/>
      <c r="H12" s="173"/>
      <c r="I12" s="62"/>
      <c r="J12" s="84"/>
      <c r="K12" s="84"/>
      <c r="L12" s="49" t="s">
        <v>87</v>
      </c>
      <c r="M12" s="49" t="s">
        <v>3</v>
      </c>
    </row>
    <row r="13" spans="1:13" ht="16.5">
      <c r="A13" s="65">
        <v>45819</v>
      </c>
      <c r="B13" s="91"/>
      <c r="C13" s="93"/>
      <c r="D13" s="140"/>
      <c r="E13" s="157"/>
      <c r="F13" s="148"/>
      <c r="G13" s="158"/>
      <c r="H13" s="173"/>
      <c r="I13" s="62"/>
      <c r="J13" s="83"/>
      <c r="K13" s="84"/>
      <c r="L13" s="49" t="s">
        <v>44</v>
      </c>
      <c r="M13" s="49" t="s">
        <v>88</v>
      </c>
    </row>
    <row r="14" spans="1:13" ht="18" customHeight="1">
      <c r="A14" s="65">
        <v>45820</v>
      </c>
      <c r="B14" s="91"/>
      <c r="C14" s="93"/>
      <c r="D14" s="140"/>
      <c r="E14" s="159"/>
      <c r="F14" s="160"/>
      <c r="G14" s="161"/>
      <c r="H14" s="173"/>
      <c r="I14" s="62"/>
      <c r="J14" s="165"/>
      <c r="K14" s="95"/>
      <c r="L14" s="49" t="s">
        <v>42</v>
      </c>
      <c r="M14" s="49" t="s">
        <v>51</v>
      </c>
    </row>
    <row r="15" spans="1:13" ht="16.5">
      <c r="A15" s="65">
        <v>45821</v>
      </c>
      <c r="B15" s="91"/>
      <c r="C15" s="93"/>
      <c r="D15" s="140"/>
      <c r="E15" s="147"/>
      <c r="F15" s="148"/>
      <c r="G15" s="149"/>
      <c r="H15" s="173"/>
      <c r="I15" s="62"/>
      <c r="J15" s="83"/>
      <c r="K15" s="84"/>
      <c r="L15" s="49"/>
      <c r="M15" s="49"/>
    </row>
    <row r="16" spans="1:13" ht="16.5">
      <c r="A16" s="65">
        <v>45822</v>
      </c>
      <c r="B16" s="91"/>
      <c r="C16" s="93"/>
      <c r="D16" s="141"/>
      <c r="E16" s="147"/>
      <c r="F16" s="148"/>
      <c r="G16" s="149"/>
      <c r="H16" s="173"/>
      <c r="I16" s="62"/>
      <c r="J16" s="83"/>
      <c r="K16" s="84"/>
      <c r="L16" s="386" t="s">
        <v>74</v>
      </c>
      <c r="M16" s="387"/>
    </row>
    <row r="17" spans="1:14" ht="16.5">
      <c r="A17" s="65">
        <v>45823</v>
      </c>
      <c r="B17" s="91"/>
      <c r="C17" s="93"/>
      <c r="D17" s="142"/>
      <c r="E17" s="147"/>
      <c r="F17" s="148"/>
      <c r="G17" s="149"/>
      <c r="H17" s="173"/>
      <c r="I17" s="62"/>
      <c r="J17" s="84"/>
      <c r="K17" s="84"/>
    </row>
    <row r="18" spans="1:14" ht="16.5">
      <c r="A18" s="65">
        <v>45824</v>
      </c>
      <c r="B18" s="91"/>
      <c r="C18" s="93"/>
      <c r="D18" s="140"/>
      <c r="E18" s="147"/>
      <c r="F18" s="148"/>
      <c r="G18" s="149"/>
      <c r="H18" s="173"/>
      <c r="I18" s="166"/>
      <c r="J18" s="83"/>
      <c r="K18" s="84"/>
      <c r="L18" s="72" t="s">
        <v>76</v>
      </c>
      <c r="M18" s="170">
        <v>1</v>
      </c>
    </row>
    <row r="19" spans="1:14" ht="16.5">
      <c r="A19" s="65">
        <v>45825</v>
      </c>
      <c r="B19" s="91"/>
      <c r="C19" s="93"/>
      <c r="D19" s="140"/>
      <c r="E19" s="147"/>
      <c r="F19" s="148"/>
      <c r="G19" s="149"/>
      <c r="H19" s="173"/>
      <c r="I19" s="62"/>
      <c r="J19" s="84"/>
      <c r="K19" s="89"/>
      <c r="L19" s="169" t="s">
        <v>77</v>
      </c>
      <c r="M19" s="169">
        <v>0.5</v>
      </c>
      <c r="N19" s="169"/>
    </row>
    <row r="20" spans="1:14" ht="16.5">
      <c r="A20" s="65">
        <v>45826</v>
      </c>
      <c r="B20" s="91"/>
      <c r="C20" s="93"/>
      <c r="D20" s="143"/>
      <c r="E20" s="147"/>
      <c r="F20" s="148"/>
      <c r="G20" s="149"/>
      <c r="H20" s="173"/>
      <c r="I20" s="62"/>
      <c r="J20" s="83"/>
      <c r="K20" s="84"/>
      <c r="L20" s="169"/>
      <c r="M20" s="169"/>
      <c r="N20" s="169"/>
    </row>
    <row r="21" spans="1:14" ht="16.5">
      <c r="A21" s="65">
        <v>45827</v>
      </c>
      <c r="B21" s="91"/>
      <c r="C21" s="93"/>
      <c r="D21" s="140"/>
      <c r="E21" s="147"/>
      <c r="F21" s="148"/>
      <c r="G21" s="149"/>
      <c r="H21" s="173"/>
      <c r="I21" s="62"/>
      <c r="J21" s="90"/>
      <c r="K21" s="85"/>
      <c r="L21" s="169"/>
      <c r="M21" s="172"/>
      <c r="N21" s="172"/>
    </row>
    <row r="22" spans="1:14" ht="16.5">
      <c r="A22" s="65">
        <v>45828</v>
      </c>
      <c r="B22" s="91"/>
      <c r="C22" s="93"/>
      <c r="D22" s="140"/>
      <c r="E22" s="147"/>
      <c r="F22" s="148"/>
      <c r="G22" s="149"/>
      <c r="H22" s="173"/>
      <c r="I22" s="62"/>
      <c r="J22" s="90"/>
      <c r="K22" s="86"/>
      <c r="L22" s="172" t="s">
        <v>17</v>
      </c>
      <c r="M22" s="172"/>
      <c r="N22" s="172"/>
    </row>
    <row r="23" spans="1:14" ht="16.5">
      <c r="A23" s="65">
        <v>45829</v>
      </c>
      <c r="B23" s="91"/>
      <c r="C23" s="93"/>
      <c r="D23" s="140"/>
      <c r="E23" s="147"/>
      <c r="F23" s="148"/>
      <c r="G23" s="149"/>
      <c r="H23" s="173"/>
      <c r="I23" s="62"/>
      <c r="J23" s="85"/>
      <c r="K23" s="86"/>
      <c r="L23" s="172" t="s">
        <v>79</v>
      </c>
      <c r="M23" s="172"/>
      <c r="N23" s="172"/>
    </row>
    <row r="24" spans="1:14" ht="16.5">
      <c r="A24" s="65">
        <v>45830</v>
      </c>
      <c r="B24" s="91"/>
      <c r="C24" s="93"/>
      <c r="D24" s="140"/>
      <c r="E24" s="147"/>
      <c r="F24" s="148"/>
      <c r="G24" s="149"/>
      <c r="H24" s="173"/>
      <c r="I24" s="62"/>
      <c r="J24" s="85"/>
      <c r="K24" s="86"/>
      <c r="L24" s="172"/>
    </row>
    <row r="25" spans="1:14" ht="16.5">
      <c r="A25" s="65">
        <v>45831</v>
      </c>
      <c r="B25" s="91"/>
      <c r="C25" s="93"/>
      <c r="D25" s="140"/>
      <c r="E25" s="147"/>
      <c r="F25" s="148"/>
      <c r="G25" s="149"/>
      <c r="I25" s="62"/>
      <c r="J25" s="167"/>
      <c r="K25" s="168"/>
    </row>
    <row r="26" spans="1:14" ht="16.5">
      <c r="A26" s="65">
        <v>45832</v>
      </c>
      <c r="B26" s="91"/>
      <c r="C26" s="93"/>
      <c r="D26" s="140"/>
      <c r="E26" s="147"/>
      <c r="F26" s="148"/>
      <c r="G26" s="149"/>
      <c r="H26" s="173"/>
      <c r="I26" s="62"/>
      <c r="J26" s="19"/>
      <c r="K26" s="12"/>
    </row>
    <row r="27" spans="1:14" ht="16.5">
      <c r="A27" s="65">
        <v>45833</v>
      </c>
      <c r="B27" s="91"/>
      <c r="C27" s="93"/>
      <c r="D27" s="144"/>
      <c r="E27" s="147"/>
      <c r="F27" s="148"/>
      <c r="G27" s="149"/>
      <c r="H27" s="173"/>
      <c r="I27" s="62"/>
      <c r="J27" s="173" t="s">
        <v>52</v>
      </c>
    </row>
    <row r="28" spans="1:14" ht="42" customHeight="1">
      <c r="A28" s="65">
        <v>45834</v>
      </c>
      <c r="B28" s="91"/>
      <c r="C28" s="93"/>
      <c r="D28" s="145"/>
      <c r="E28" s="147"/>
      <c r="F28" s="148"/>
      <c r="G28" s="149"/>
      <c r="H28" s="173"/>
      <c r="I28" s="62"/>
      <c r="J28" s="389"/>
      <c r="K28" s="389"/>
      <c r="L28" s="389"/>
      <c r="M28" s="389"/>
      <c r="N28" s="389"/>
    </row>
    <row r="29" spans="1:14" ht="27" customHeight="1">
      <c r="A29" s="65">
        <v>45835</v>
      </c>
      <c r="B29" s="91"/>
      <c r="C29" s="93"/>
      <c r="D29" s="140"/>
      <c r="E29" s="147"/>
      <c r="F29" s="148"/>
      <c r="G29" s="149"/>
      <c r="H29" s="173"/>
      <c r="I29" s="62"/>
      <c r="J29" s="389"/>
      <c r="K29" s="389"/>
      <c r="L29" s="389"/>
      <c r="M29" s="389"/>
      <c r="N29" s="389"/>
    </row>
    <row r="30" spans="1:14" ht="31.5" customHeight="1">
      <c r="A30" s="65">
        <v>45836</v>
      </c>
      <c r="B30" s="91"/>
      <c r="C30" s="93"/>
      <c r="D30" s="140"/>
      <c r="E30" s="147"/>
      <c r="F30" s="148"/>
      <c r="G30" s="149"/>
      <c r="H30" s="173"/>
      <c r="I30" s="62"/>
      <c r="J30" s="170" t="s">
        <v>56</v>
      </c>
    </row>
    <row r="31" spans="1:14" ht="16.5">
      <c r="A31" s="65">
        <v>45837</v>
      </c>
      <c r="B31" s="91"/>
      <c r="C31" s="93"/>
      <c r="D31" s="140"/>
      <c r="E31" s="147"/>
      <c r="F31" s="148"/>
      <c r="G31" s="149"/>
      <c r="H31" s="173"/>
      <c r="I31" s="62"/>
      <c r="L31" s="171" t="s">
        <v>65</v>
      </c>
      <c r="M31" s="171">
        <v>10</v>
      </c>
    </row>
    <row r="32" spans="1:14" ht="16.5">
      <c r="A32" s="65">
        <v>45838</v>
      </c>
      <c r="B32" s="91"/>
      <c r="C32" s="93"/>
      <c r="D32" s="140"/>
      <c r="E32" s="147"/>
      <c r="F32" s="148"/>
      <c r="G32" s="149"/>
      <c r="H32" s="173"/>
      <c r="I32" s="62"/>
      <c r="L32" s="171" t="s">
        <v>66</v>
      </c>
      <c r="M32" s="171">
        <v>15</v>
      </c>
    </row>
    <row r="33" spans="1:14" ht="16.5">
      <c r="A33" s="65"/>
      <c r="B33" s="91"/>
      <c r="C33" s="94"/>
      <c r="D33" s="146"/>
      <c r="E33" s="150"/>
      <c r="F33" s="151"/>
      <c r="G33" s="152"/>
      <c r="H33" s="173"/>
      <c r="I33" s="62"/>
      <c r="J33" s="173"/>
      <c r="L33" s="66" t="s">
        <v>64</v>
      </c>
      <c r="M33" s="171">
        <v>15</v>
      </c>
      <c r="N33" s="173"/>
    </row>
    <row r="34" spans="1:14" ht="16.5">
      <c r="A34" s="65"/>
      <c r="B34" s="173"/>
      <c r="C34" s="173"/>
      <c r="D34" s="173"/>
      <c r="E34" s="173"/>
      <c r="F34" s="34">
        <v>15</v>
      </c>
      <c r="G34" s="34"/>
      <c r="H34" s="173"/>
      <c r="I34" s="173"/>
      <c r="L34" s="171" t="s">
        <v>67</v>
      </c>
      <c r="M34" s="171">
        <v>20</v>
      </c>
    </row>
    <row r="35" spans="1:14">
      <c r="A35" s="170" t="s">
        <v>17</v>
      </c>
      <c r="B35" s="170">
        <v>3.5</v>
      </c>
      <c r="L35" s="171" t="s">
        <v>68</v>
      </c>
      <c r="M35" s="171">
        <v>15</v>
      </c>
    </row>
    <row r="36" spans="1:14">
      <c r="L36" s="171" t="s">
        <v>22</v>
      </c>
      <c r="M36" s="171">
        <v>15</v>
      </c>
    </row>
    <row r="37" spans="1:14">
      <c r="L37" s="171" t="s">
        <v>69</v>
      </c>
      <c r="M37" s="171">
        <f>SUM(M31:M36)/60</f>
        <v>1.5</v>
      </c>
    </row>
    <row r="55" spans="5:5">
      <c r="E55" s="15"/>
    </row>
    <row r="56" spans="5:5">
      <c r="E56" s="15"/>
    </row>
    <row r="58" spans="5:5">
      <c r="E58" s="15"/>
    </row>
  </sheetData>
  <mergeCells count="2">
    <mergeCell ref="L16:M16"/>
    <mergeCell ref="J28:N29"/>
  </mergeCells>
  <conditionalFormatting sqref="B3:B4 B6:B33">
    <cfRule type="cellIs" dxfId="62" priority="2" operator="lessThan">
      <formula>$B$35</formula>
    </cfRule>
    <cfRule type="cellIs" dxfId="61" priority="3" operator="between">
      <formula>$B$35</formula>
      <formula>3</formula>
    </cfRule>
    <cfRule type="cellIs" dxfId="60" priority="4" operator="greaterThan">
      <formula>$B$35</formula>
    </cfRule>
  </conditionalFormatting>
  <conditionalFormatting sqref="A3:A34">
    <cfRule type="expression" dxfId="59" priority="1">
      <formula>WEEKDAY(A3,2)&gt;5</formula>
    </cfRule>
  </conditionalFormatting>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2" activePane="bottomLeft" state="frozen"/>
      <selection pane="bottomLeft" activeCell="J4" sqref="J4:K24"/>
    </sheetView>
  </sheetViews>
  <sheetFormatPr defaultColWidth="9.140625" defaultRowHeight="15"/>
  <cols>
    <col min="1" max="1" width="8.85546875" style="190" customWidth="1"/>
    <col min="2" max="2" width="6.28515625" style="190" customWidth="1"/>
    <col min="3" max="3" width="8.42578125" style="190" customWidth="1"/>
    <col min="4" max="4" width="6.42578125" style="190" customWidth="1"/>
    <col min="5" max="5" width="6.28515625" style="190" customWidth="1"/>
    <col min="6" max="6" width="9.140625" style="190" customWidth="1"/>
    <col min="7" max="7" width="9.140625" style="190"/>
    <col min="8" max="8" width="6.42578125" style="190" customWidth="1"/>
    <col min="9" max="9" width="77.5703125" style="190" customWidth="1"/>
    <col min="10" max="10" width="61.42578125" style="190" customWidth="1"/>
    <col min="11" max="11" width="12.5703125" style="190" customWidth="1"/>
    <col min="12" max="12" width="19.85546875" style="190" bestFit="1" customWidth="1"/>
    <col min="13" max="16384" width="9.140625" style="190"/>
  </cols>
  <sheetData>
    <row r="1" spans="1:13" ht="58.5" customHeight="1" thickBot="1">
      <c r="A1" s="5" t="s">
        <v>12</v>
      </c>
      <c r="B1" s="6" t="s">
        <v>0</v>
      </c>
      <c r="C1" s="81" t="s">
        <v>58</v>
      </c>
      <c r="D1" s="81" t="s">
        <v>61</v>
      </c>
      <c r="E1" s="82" t="s">
        <v>53</v>
      </c>
      <c r="F1" s="33" t="s">
        <v>70</v>
      </c>
      <c r="G1" s="33" t="s">
        <v>1</v>
      </c>
      <c r="H1" s="32" t="s">
        <v>89</v>
      </c>
      <c r="I1" s="55" t="s">
        <v>91</v>
      </c>
      <c r="J1" s="20" t="s">
        <v>2</v>
      </c>
      <c r="K1" s="37"/>
      <c r="L1" s="38" t="s">
        <v>34</v>
      </c>
      <c r="M1" s="39">
        <f>SUM(B3:B33)</f>
        <v>0</v>
      </c>
    </row>
    <row r="2" spans="1:13" ht="18" thickTop="1" thickBot="1">
      <c r="B2" s="194"/>
      <c r="C2" s="92"/>
      <c r="D2" s="92"/>
      <c r="E2" s="16"/>
      <c r="F2" s="194"/>
      <c r="G2" s="194"/>
      <c r="H2" s="16"/>
      <c r="I2" s="186"/>
      <c r="J2" s="194"/>
      <c r="K2" s="190" t="s">
        <v>13</v>
      </c>
      <c r="L2" s="40" t="s">
        <v>35</v>
      </c>
      <c r="M2" s="40">
        <f>SUM(M3:M4)</f>
        <v>7.5</v>
      </c>
    </row>
    <row r="3" spans="1:13" ht="17.25" thickTop="1">
      <c r="A3" s="65">
        <v>45839</v>
      </c>
      <c r="B3" s="91"/>
      <c r="C3" s="93"/>
      <c r="D3" s="153"/>
      <c r="E3" s="154"/>
      <c r="F3" s="162"/>
      <c r="G3" s="156"/>
      <c r="H3" s="16"/>
      <c r="I3" s="62"/>
      <c r="J3" s="21" t="s">
        <v>41</v>
      </c>
      <c r="K3" s="56" t="s">
        <v>43</v>
      </c>
      <c r="L3" s="41" t="s">
        <v>15</v>
      </c>
      <c r="M3" s="41">
        <f>SUM(C3:E33)</f>
        <v>0</v>
      </c>
    </row>
    <row r="4" spans="1:13" ht="19.5" customHeight="1">
      <c r="A4" s="65">
        <v>45840</v>
      </c>
      <c r="B4" s="91"/>
      <c r="C4" s="93"/>
      <c r="D4" s="153"/>
      <c r="E4" s="157"/>
      <c r="F4" s="148"/>
      <c r="G4" s="158"/>
      <c r="H4" s="16"/>
      <c r="I4" s="62"/>
      <c r="J4" s="176"/>
      <c r="K4" s="177"/>
      <c r="L4" s="41" t="s">
        <v>90</v>
      </c>
      <c r="M4" s="41">
        <f>SUM(F3:H34)</f>
        <v>7.5</v>
      </c>
    </row>
    <row r="5" spans="1:13" ht="16.5">
      <c r="A5" s="65">
        <v>45841</v>
      </c>
      <c r="C5" s="93"/>
      <c r="D5" s="153"/>
      <c r="E5" s="157"/>
      <c r="F5" s="155"/>
      <c r="G5" s="163"/>
      <c r="H5" s="16"/>
      <c r="I5" s="62"/>
      <c r="J5" s="178"/>
      <c r="K5" s="179"/>
    </row>
    <row r="6" spans="1:13" ht="16.5">
      <c r="A6" s="65">
        <v>45842</v>
      </c>
      <c r="B6" s="91"/>
      <c r="C6" s="93"/>
      <c r="D6" s="154"/>
      <c r="E6" s="157"/>
      <c r="F6" s="148"/>
      <c r="G6" s="158"/>
      <c r="H6" s="16"/>
      <c r="I6" s="62"/>
      <c r="J6" s="176"/>
      <c r="K6" s="177"/>
      <c r="L6" s="18" t="s">
        <v>19</v>
      </c>
      <c r="M6" s="18" t="s">
        <v>21</v>
      </c>
    </row>
    <row r="7" spans="1:13" ht="16.5">
      <c r="A7" s="65">
        <v>45843</v>
      </c>
      <c r="B7" s="91"/>
      <c r="C7" s="93"/>
      <c r="D7" s="140"/>
      <c r="E7" s="157"/>
      <c r="F7" s="148"/>
      <c r="G7" s="158"/>
      <c r="H7" s="16"/>
      <c r="I7" s="62"/>
      <c r="J7" s="189"/>
      <c r="K7" s="177"/>
      <c r="L7" s="45" t="s">
        <v>92</v>
      </c>
      <c r="M7" s="46" t="s">
        <v>84</v>
      </c>
    </row>
    <row r="8" spans="1:13" ht="16.5">
      <c r="A8" s="65">
        <v>45844</v>
      </c>
      <c r="B8" s="91"/>
      <c r="C8" s="93"/>
      <c r="D8" s="140"/>
      <c r="E8" s="157"/>
      <c r="F8" s="148"/>
      <c r="G8" s="158"/>
      <c r="H8" s="16"/>
      <c r="I8" s="62"/>
      <c r="J8" s="180"/>
      <c r="K8" s="177"/>
      <c r="L8" s="48"/>
      <c r="M8" s="48"/>
    </row>
    <row r="9" spans="1:13" ht="16.5">
      <c r="A9" s="65">
        <v>45845</v>
      </c>
      <c r="B9" s="91"/>
      <c r="C9" s="93"/>
      <c r="D9" s="140"/>
      <c r="E9" s="157"/>
      <c r="F9" s="148"/>
      <c r="G9" s="158"/>
      <c r="H9" s="16"/>
      <c r="I9" s="62"/>
      <c r="J9" s="185"/>
      <c r="K9" s="177"/>
      <c r="L9" s="46" t="s">
        <v>42</v>
      </c>
      <c r="M9" s="46" t="s">
        <v>23</v>
      </c>
    </row>
    <row r="10" spans="1:13" ht="16.5">
      <c r="A10" s="65">
        <v>45846</v>
      </c>
      <c r="B10" s="91"/>
      <c r="C10" s="93"/>
      <c r="D10" s="140"/>
      <c r="E10" s="157"/>
      <c r="F10" s="148"/>
      <c r="G10" s="158"/>
      <c r="H10" s="194"/>
      <c r="I10" s="62"/>
      <c r="J10" s="177"/>
      <c r="K10" s="177"/>
      <c r="L10" s="73" t="s">
        <v>85</v>
      </c>
      <c r="M10" s="48">
        <v>3</v>
      </c>
    </row>
    <row r="11" spans="1:13" ht="16.5">
      <c r="A11" s="65">
        <v>45847</v>
      </c>
      <c r="B11" s="91"/>
      <c r="C11" s="93"/>
      <c r="D11" s="157"/>
      <c r="F11" s="148"/>
      <c r="G11" s="158"/>
      <c r="H11" s="194"/>
      <c r="I11" s="62"/>
      <c r="J11" s="176"/>
      <c r="K11" s="177"/>
      <c r="L11" s="190" t="s">
        <v>86</v>
      </c>
    </row>
    <row r="12" spans="1:13" ht="16.5">
      <c r="A12" s="65">
        <v>45848</v>
      </c>
      <c r="B12" s="91"/>
      <c r="C12" s="93"/>
      <c r="D12" s="140"/>
      <c r="E12" s="164"/>
      <c r="F12" s="148"/>
      <c r="G12" s="158"/>
      <c r="H12" s="194"/>
      <c r="I12" s="62"/>
      <c r="J12" s="177"/>
      <c r="K12" s="177"/>
      <c r="L12" s="49" t="s">
        <v>87</v>
      </c>
      <c r="M12" s="49" t="s">
        <v>3</v>
      </c>
    </row>
    <row r="13" spans="1:13" ht="16.5">
      <c r="A13" s="65">
        <v>45849</v>
      </c>
      <c r="B13" s="91"/>
      <c r="C13" s="93"/>
      <c r="D13" s="140"/>
      <c r="E13" s="157"/>
      <c r="F13" s="148"/>
      <c r="G13" s="158"/>
      <c r="H13" s="194"/>
      <c r="I13" s="62"/>
      <c r="J13" s="184"/>
      <c r="K13" s="177"/>
      <c r="L13" s="49" t="s">
        <v>44</v>
      </c>
      <c r="M13" s="49" t="s">
        <v>88</v>
      </c>
    </row>
    <row r="14" spans="1:13" ht="18" customHeight="1">
      <c r="A14" s="65">
        <v>45850</v>
      </c>
      <c r="B14" s="91"/>
      <c r="C14" s="93"/>
      <c r="D14" s="140"/>
      <c r="E14" s="159"/>
      <c r="F14" s="160"/>
      <c r="G14" s="161"/>
      <c r="H14" s="194"/>
      <c r="I14" s="62"/>
      <c r="J14" s="184"/>
      <c r="K14" s="177"/>
      <c r="L14" s="49" t="s">
        <v>42</v>
      </c>
      <c r="M14" s="49" t="s">
        <v>51</v>
      </c>
    </row>
    <row r="15" spans="1:13" ht="16.5">
      <c r="A15" s="65">
        <v>45851</v>
      </c>
      <c r="B15" s="91"/>
      <c r="C15" s="93"/>
      <c r="D15" s="140"/>
      <c r="E15" s="147"/>
      <c r="F15" s="148"/>
      <c r="G15" s="149"/>
      <c r="H15" s="194"/>
      <c r="I15" s="62"/>
      <c r="J15" s="184"/>
      <c r="K15" s="177"/>
      <c r="L15" s="49"/>
      <c r="M15" s="49"/>
    </row>
    <row r="16" spans="1:13" ht="16.5">
      <c r="A16" s="65">
        <v>45852</v>
      </c>
      <c r="B16" s="91"/>
      <c r="C16" s="93"/>
      <c r="D16" s="141"/>
      <c r="E16" s="147"/>
      <c r="F16" s="148"/>
      <c r="G16" s="149"/>
      <c r="H16" s="194"/>
      <c r="I16" s="62"/>
      <c r="J16" s="184"/>
      <c r="K16" s="177"/>
      <c r="L16" s="386" t="s">
        <v>74</v>
      </c>
      <c r="M16" s="387"/>
    </row>
    <row r="17" spans="1:14" ht="16.5">
      <c r="A17" s="65">
        <v>45853</v>
      </c>
      <c r="B17" s="91"/>
      <c r="C17" s="93"/>
      <c r="D17" s="142"/>
      <c r="E17" s="147"/>
      <c r="F17" s="148"/>
      <c r="G17" s="149"/>
      <c r="H17" s="194"/>
      <c r="I17" s="187"/>
      <c r="J17" s="185"/>
      <c r="K17" s="177"/>
    </row>
    <row r="18" spans="1:14" ht="16.5">
      <c r="A18" s="65">
        <v>45854</v>
      </c>
      <c r="B18" s="91"/>
      <c r="C18" s="93"/>
      <c r="D18" s="140"/>
      <c r="E18" s="147"/>
      <c r="F18" s="148"/>
      <c r="G18" s="149"/>
      <c r="H18" s="194"/>
      <c r="I18" s="188"/>
      <c r="J18" s="176"/>
      <c r="K18" s="177"/>
      <c r="L18" s="72" t="s">
        <v>76</v>
      </c>
      <c r="M18" s="190">
        <v>1</v>
      </c>
    </row>
    <row r="19" spans="1:14" ht="16.5">
      <c r="A19" s="65">
        <v>45855</v>
      </c>
      <c r="B19" s="91"/>
      <c r="C19" s="93"/>
      <c r="D19" s="140"/>
      <c r="E19" s="147"/>
      <c r="F19" s="148"/>
      <c r="G19" s="149"/>
      <c r="H19" s="194"/>
      <c r="I19" s="187"/>
      <c r="J19" s="185"/>
      <c r="K19" s="181"/>
      <c r="L19" s="192" t="s">
        <v>77</v>
      </c>
      <c r="M19" s="192">
        <v>0.5</v>
      </c>
      <c r="N19" s="192"/>
    </row>
    <row r="20" spans="1:14" ht="16.5">
      <c r="A20" s="65">
        <v>45856</v>
      </c>
      <c r="B20" s="91"/>
      <c r="C20" s="93"/>
      <c r="D20" s="143"/>
      <c r="E20" s="147"/>
      <c r="F20" s="148"/>
      <c r="G20" s="149"/>
      <c r="H20" s="194"/>
      <c r="I20" s="62"/>
      <c r="J20" s="176"/>
      <c r="K20" s="177"/>
      <c r="L20" s="192"/>
      <c r="M20" s="192"/>
      <c r="N20" s="192"/>
    </row>
    <row r="21" spans="1:14" ht="16.5">
      <c r="A21" s="65">
        <v>45857</v>
      </c>
      <c r="B21" s="91"/>
      <c r="C21" s="93"/>
      <c r="D21" s="140"/>
      <c r="E21" s="147"/>
      <c r="F21" s="148"/>
      <c r="G21" s="149"/>
      <c r="H21" s="194"/>
      <c r="I21" s="62"/>
      <c r="J21" s="182"/>
      <c r="K21" s="179"/>
      <c r="L21" s="192"/>
      <c r="M21" s="191"/>
      <c r="N21" s="191"/>
    </row>
    <row r="22" spans="1:14" ht="16.5">
      <c r="A22" s="65">
        <v>45858</v>
      </c>
      <c r="B22" s="91"/>
      <c r="C22" s="93"/>
      <c r="D22" s="140"/>
      <c r="E22" s="147"/>
      <c r="F22" s="148"/>
      <c r="G22" s="149"/>
      <c r="H22" s="194"/>
      <c r="I22" s="62"/>
      <c r="J22" s="183"/>
      <c r="K22" s="181"/>
      <c r="L22" s="191" t="s">
        <v>17</v>
      </c>
      <c r="M22" s="191"/>
      <c r="N22" s="191"/>
    </row>
    <row r="23" spans="1:14" ht="16.5">
      <c r="A23" s="65">
        <v>45859</v>
      </c>
      <c r="B23" s="91"/>
      <c r="C23" s="93"/>
      <c r="D23" s="140"/>
      <c r="E23" s="147"/>
      <c r="F23" s="148"/>
      <c r="G23" s="149"/>
      <c r="H23" s="194"/>
      <c r="I23" s="62"/>
      <c r="J23" s="178"/>
      <c r="K23" s="179"/>
      <c r="L23" s="191" t="s">
        <v>79</v>
      </c>
      <c r="M23" s="191"/>
      <c r="N23" s="191"/>
    </row>
    <row r="24" spans="1:14" ht="16.5">
      <c r="A24" s="65">
        <v>45860</v>
      </c>
      <c r="B24" s="91"/>
      <c r="C24" s="93"/>
      <c r="D24" s="140"/>
      <c r="E24" s="147"/>
      <c r="F24" s="148"/>
      <c r="G24" s="149"/>
      <c r="H24" s="194"/>
      <c r="I24" s="62"/>
      <c r="J24" s="178"/>
      <c r="K24" s="179"/>
      <c r="L24" s="191"/>
    </row>
    <row r="25" spans="1:14" ht="16.5">
      <c r="A25" s="65">
        <v>45861</v>
      </c>
      <c r="B25" s="91"/>
      <c r="C25" s="93"/>
      <c r="D25" s="140"/>
      <c r="E25" s="147"/>
      <c r="F25" s="148"/>
      <c r="G25" s="149"/>
      <c r="I25" s="62"/>
      <c r="J25" s="174" t="s">
        <v>93</v>
      </c>
      <c r="K25" s="175">
        <f>SUM(K4:K24)</f>
        <v>0</v>
      </c>
    </row>
    <row r="26" spans="1:14" ht="16.5">
      <c r="A26" s="65">
        <v>45862</v>
      </c>
      <c r="B26" s="91"/>
      <c r="C26" s="93"/>
      <c r="D26" s="140"/>
      <c r="E26" s="147"/>
      <c r="F26" s="148"/>
      <c r="G26" s="149"/>
      <c r="H26" s="194"/>
      <c r="I26" s="62"/>
      <c r="J26" s="19"/>
      <c r="K26" s="12"/>
    </row>
    <row r="27" spans="1:14" ht="16.5">
      <c r="A27" s="65">
        <v>45863</v>
      </c>
      <c r="B27" s="91"/>
      <c r="C27" s="93"/>
      <c r="D27" s="144"/>
      <c r="E27" s="147"/>
      <c r="F27" s="148"/>
      <c r="G27" s="149"/>
      <c r="H27" s="194"/>
      <c r="I27" s="62"/>
      <c r="J27" s="194" t="s">
        <v>52</v>
      </c>
    </row>
    <row r="28" spans="1:14" ht="42" customHeight="1">
      <c r="A28" s="65">
        <v>45864</v>
      </c>
      <c r="B28" s="91"/>
      <c r="C28" s="93"/>
      <c r="D28" s="145"/>
      <c r="E28" s="147"/>
      <c r="F28" s="148"/>
      <c r="G28" s="149"/>
      <c r="H28" s="194"/>
      <c r="I28" s="62"/>
      <c r="J28" s="390" t="s">
        <v>94</v>
      </c>
      <c r="K28" s="390"/>
      <c r="L28" s="390"/>
      <c r="M28" s="390"/>
      <c r="N28" s="390"/>
    </row>
    <row r="29" spans="1:14" ht="27" customHeight="1">
      <c r="A29" s="65">
        <v>45865</v>
      </c>
      <c r="B29" s="91"/>
      <c r="C29" s="93"/>
      <c r="D29" s="140"/>
      <c r="E29" s="147"/>
      <c r="F29" s="148"/>
      <c r="G29" s="149"/>
      <c r="H29" s="194"/>
      <c r="I29" s="62"/>
      <c r="J29" s="390"/>
      <c r="K29" s="390"/>
      <c r="L29" s="390"/>
      <c r="M29" s="390"/>
      <c r="N29" s="390"/>
    </row>
    <row r="30" spans="1:14" ht="31.5" customHeight="1">
      <c r="A30" s="65">
        <v>45866</v>
      </c>
      <c r="B30" s="91"/>
      <c r="C30" s="93"/>
      <c r="D30" s="140"/>
      <c r="E30" s="147"/>
      <c r="F30" s="148"/>
      <c r="G30" s="149"/>
      <c r="H30" s="194"/>
      <c r="I30" s="62"/>
      <c r="J30" s="190" t="s">
        <v>56</v>
      </c>
    </row>
    <row r="31" spans="1:14" ht="16.5">
      <c r="A31" s="65">
        <v>45867</v>
      </c>
      <c r="B31" s="91"/>
      <c r="C31" s="93"/>
      <c r="D31" s="140"/>
      <c r="E31" s="147"/>
      <c r="F31" s="148"/>
      <c r="G31" s="149"/>
      <c r="H31" s="194"/>
      <c r="I31" s="62"/>
      <c r="L31" s="193" t="s">
        <v>65</v>
      </c>
      <c r="M31" s="193">
        <v>10</v>
      </c>
    </row>
    <row r="32" spans="1:14" ht="16.5">
      <c r="A32" s="65">
        <v>45868</v>
      </c>
      <c r="B32" s="91"/>
      <c r="C32" s="93"/>
      <c r="D32" s="140"/>
      <c r="E32" s="147"/>
      <c r="F32" s="148"/>
      <c r="G32" s="149"/>
      <c r="H32" s="194"/>
      <c r="I32" s="62"/>
      <c r="L32" s="193" t="s">
        <v>66</v>
      </c>
      <c r="M32" s="193">
        <v>15</v>
      </c>
    </row>
    <row r="33" spans="1:14" ht="16.5">
      <c r="A33" s="65">
        <v>45869</v>
      </c>
      <c r="B33" s="91"/>
      <c r="C33" s="94"/>
      <c r="D33" s="146"/>
      <c r="E33" s="150"/>
      <c r="F33" s="151"/>
      <c r="G33" s="152"/>
      <c r="H33" s="194"/>
      <c r="I33" s="62"/>
      <c r="J33" s="194"/>
      <c r="L33" s="66" t="s">
        <v>64</v>
      </c>
      <c r="M33" s="193">
        <v>15</v>
      </c>
      <c r="N33" s="194"/>
    </row>
    <row r="34" spans="1:14" ht="16.5">
      <c r="A34" s="65"/>
      <c r="B34" s="194"/>
      <c r="C34" s="194"/>
      <c r="D34" s="194"/>
      <c r="E34" s="194"/>
      <c r="F34" s="34"/>
      <c r="G34" s="34">
        <v>7.5</v>
      </c>
      <c r="H34" s="194"/>
      <c r="I34" s="194"/>
      <c r="L34" s="193" t="s">
        <v>67</v>
      </c>
      <c r="M34" s="193">
        <v>20</v>
      </c>
    </row>
    <row r="35" spans="1:14">
      <c r="A35" s="190" t="s">
        <v>17</v>
      </c>
      <c r="B35" s="190">
        <v>3</v>
      </c>
      <c r="L35" s="193" t="s">
        <v>68</v>
      </c>
      <c r="M35" s="193">
        <v>15</v>
      </c>
    </row>
    <row r="36" spans="1:14">
      <c r="L36" s="193" t="s">
        <v>22</v>
      </c>
      <c r="M36" s="193">
        <v>15</v>
      </c>
    </row>
    <row r="37" spans="1:14">
      <c r="L37" s="193" t="s">
        <v>69</v>
      </c>
      <c r="M37" s="193">
        <f>SUM(M31:M36)/60</f>
        <v>1.5</v>
      </c>
    </row>
    <row r="55" spans="5:5">
      <c r="E55" s="15"/>
    </row>
    <row r="56" spans="5:5">
      <c r="E56" s="15"/>
    </row>
    <row r="58" spans="5:5">
      <c r="E58" s="15"/>
    </row>
  </sheetData>
  <mergeCells count="2">
    <mergeCell ref="L16:M16"/>
    <mergeCell ref="J28:N29"/>
  </mergeCells>
  <conditionalFormatting sqref="B3:B4 B6:B33">
    <cfRule type="cellIs" dxfId="53" priority="2" operator="lessThan">
      <formula>$B$35</formula>
    </cfRule>
    <cfRule type="cellIs" dxfId="52" priority="3" operator="between">
      <formula>$B$35</formula>
      <formula>3</formula>
    </cfRule>
    <cfRule type="cellIs" dxfId="51" priority="4" operator="greaterThan">
      <formula>$B$35</formula>
    </cfRule>
  </conditionalFormatting>
  <conditionalFormatting sqref="A3:A34">
    <cfRule type="expression" dxfId="50" priority="1">
      <formula>WEEKDAY(A3,2)&gt;5</formula>
    </cfRule>
  </conditionalFormatting>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2" activePane="bottomLeft" state="frozen"/>
      <selection pane="bottomLeft" activeCell="B33" sqref="B3:B33"/>
    </sheetView>
  </sheetViews>
  <sheetFormatPr defaultColWidth="9.140625" defaultRowHeight="15"/>
  <cols>
    <col min="1" max="1" width="8.85546875" style="206" customWidth="1"/>
    <col min="2" max="2" width="6.28515625" style="206" customWidth="1"/>
    <col min="3" max="3" width="8.42578125" style="206" customWidth="1"/>
    <col min="4" max="4" width="6.42578125" style="206" customWidth="1"/>
    <col min="5" max="5" width="6.28515625" style="206" customWidth="1"/>
    <col min="6" max="6" width="9.140625" style="206" customWidth="1"/>
    <col min="7" max="7" width="9.140625" style="206"/>
    <col min="8" max="8" width="6.42578125" style="206" customWidth="1"/>
    <col min="9" max="9" width="77.5703125" style="206" customWidth="1"/>
    <col min="10" max="10" width="61.42578125" style="206" customWidth="1"/>
    <col min="11" max="11" width="12.5703125" style="206" customWidth="1"/>
    <col min="12" max="12" width="19.85546875" style="206" bestFit="1" customWidth="1"/>
    <col min="13" max="16384" width="9.140625" style="206"/>
  </cols>
  <sheetData>
    <row r="1" spans="1:14" ht="58.5" customHeight="1" thickBot="1">
      <c r="A1" s="5" t="s">
        <v>12</v>
      </c>
      <c r="B1" s="6" t="s">
        <v>0</v>
      </c>
      <c r="C1" s="81" t="s">
        <v>58</v>
      </c>
      <c r="D1" s="81" t="s">
        <v>61</v>
      </c>
      <c r="E1" s="82" t="s">
        <v>53</v>
      </c>
      <c r="F1" s="33" t="s">
        <v>70</v>
      </c>
      <c r="G1" s="33" t="s">
        <v>1</v>
      </c>
      <c r="H1" s="32" t="s">
        <v>89</v>
      </c>
      <c r="I1" s="55" t="s">
        <v>91</v>
      </c>
      <c r="J1" s="20" t="s">
        <v>2</v>
      </c>
      <c r="K1" s="37"/>
      <c r="L1" s="38" t="s">
        <v>34</v>
      </c>
      <c r="M1" s="39">
        <f>SUM(B3:B33)</f>
        <v>0</v>
      </c>
      <c r="N1" s="206" t="s">
        <v>95</v>
      </c>
    </row>
    <row r="2" spans="1:14" ht="18" thickTop="1" thickBot="1">
      <c r="B2" s="210">
        <f>SUM(B3:B33)</f>
        <v>0</v>
      </c>
      <c r="C2" s="92">
        <f t="shared" ref="C2:G2" si="0">SUM(C3:C33)</f>
        <v>0</v>
      </c>
      <c r="D2" s="92">
        <f t="shared" si="0"/>
        <v>0</v>
      </c>
      <c r="E2" s="16">
        <f t="shared" si="0"/>
        <v>0</v>
      </c>
      <c r="F2" s="210">
        <f t="shared" si="0"/>
        <v>0</v>
      </c>
      <c r="G2" s="210">
        <f t="shared" si="0"/>
        <v>0</v>
      </c>
      <c r="H2" s="16">
        <f>SUM(H3:H33)</f>
        <v>0</v>
      </c>
      <c r="I2" s="186">
        <f>SUM(E2:G2)</f>
        <v>0</v>
      </c>
      <c r="J2" s="210"/>
      <c r="K2" s="206" t="s">
        <v>13</v>
      </c>
      <c r="L2" s="40" t="s">
        <v>35</v>
      </c>
      <c r="M2" s="40">
        <f>SUM(M3:M4)</f>
        <v>7.5</v>
      </c>
      <c r="N2" s="206">
        <v>5</v>
      </c>
    </row>
    <row r="3" spans="1:14" ht="17.25" thickTop="1">
      <c r="A3" s="65">
        <v>45870</v>
      </c>
      <c r="B3" s="91"/>
      <c r="C3" s="93"/>
      <c r="D3" s="153"/>
      <c r="E3" s="154"/>
      <c r="F3" s="162"/>
      <c r="G3" s="156"/>
      <c r="H3" s="16"/>
      <c r="I3" s="62"/>
      <c r="J3" s="21" t="s">
        <v>41</v>
      </c>
      <c r="K3" s="56" t="s">
        <v>43</v>
      </c>
      <c r="L3" s="41" t="s">
        <v>15</v>
      </c>
      <c r="M3" s="41">
        <f>SUM(C3:E33)</f>
        <v>0</v>
      </c>
    </row>
    <row r="4" spans="1:14" ht="19.5" customHeight="1">
      <c r="A4" s="65">
        <v>45871</v>
      </c>
      <c r="B4" s="91"/>
      <c r="C4" s="93"/>
      <c r="D4" s="153"/>
      <c r="E4" s="157"/>
      <c r="F4" s="148"/>
      <c r="G4" s="158"/>
      <c r="H4" s="16"/>
      <c r="I4" s="62"/>
      <c r="J4" s="195"/>
      <c r="K4" s="196"/>
      <c r="L4" s="41" t="s">
        <v>90</v>
      </c>
      <c r="M4" s="41">
        <f>SUM(F3:H34)</f>
        <v>7.5</v>
      </c>
    </row>
    <row r="5" spans="1:14" ht="16.5">
      <c r="A5" s="65">
        <v>45872</v>
      </c>
      <c r="C5" s="93"/>
      <c r="D5" s="153"/>
      <c r="E5" s="157"/>
      <c r="F5" s="155"/>
      <c r="G5" s="163"/>
      <c r="H5" s="16"/>
      <c r="I5" s="62"/>
      <c r="J5" s="197"/>
      <c r="K5" s="198"/>
    </row>
    <row r="6" spans="1:14" ht="16.5">
      <c r="A6" s="65">
        <v>45873</v>
      </c>
      <c r="B6" s="91"/>
      <c r="C6" s="93"/>
      <c r="D6" s="154"/>
      <c r="E6" s="157"/>
      <c r="F6" s="148"/>
      <c r="G6" s="158"/>
      <c r="H6" s="16"/>
      <c r="I6" s="62"/>
      <c r="J6" s="204"/>
      <c r="K6" s="196"/>
      <c r="L6" s="18" t="s">
        <v>19</v>
      </c>
      <c r="M6" s="18" t="s">
        <v>21</v>
      </c>
    </row>
    <row r="7" spans="1:14" ht="16.5">
      <c r="A7" s="65">
        <v>45874</v>
      </c>
      <c r="B7" s="91"/>
      <c r="C7" s="93"/>
      <c r="D7" s="140"/>
      <c r="E7" s="157"/>
      <c r="F7" s="148"/>
      <c r="G7" s="158"/>
      <c r="H7" s="16"/>
      <c r="I7" s="62"/>
      <c r="J7" s="199"/>
      <c r="K7" s="196"/>
      <c r="L7" s="45" t="s">
        <v>92</v>
      </c>
      <c r="M7" s="46" t="s">
        <v>84</v>
      </c>
    </row>
    <row r="8" spans="1:14" ht="16.5">
      <c r="A8" s="65">
        <v>45875</v>
      </c>
      <c r="B8" s="91"/>
      <c r="C8" s="93"/>
      <c r="D8" s="140"/>
      <c r="E8" s="157"/>
      <c r="F8" s="148"/>
      <c r="G8" s="158"/>
      <c r="H8" s="16"/>
      <c r="I8" s="62"/>
      <c r="J8" s="200"/>
      <c r="K8" s="196"/>
      <c r="L8" s="48"/>
      <c r="M8" s="48"/>
    </row>
    <row r="9" spans="1:14" ht="16.5">
      <c r="A9" s="65">
        <v>45876</v>
      </c>
      <c r="B9" s="91"/>
      <c r="C9" s="93"/>
      <c r="D9" s="140"/>
      <c r="E9" s="157"/>
      <c r="F9" s="148"/>
      <c r="G9" s="158"/>
      <c r="H9" s="16"/>
      <c r="I9" s="62"/>
      <c r="J9" s="202"/>
      <c r="K9" s="196"/>
      <c r="L9" s="46" t="s">
        <v>42</v>
      </c>
      <c r="M9" s="46" t="s">
        <v>23</v>
      </c>
    </row>
    <row r="10" spans="1:14" ht="16.5">
      <c r="A10" s="65">
        <v>45877</v>
      </c>
      <c r="B10" s="91"/>
      <c r="C10" s="93"/>
      <c r="D10" s="140"/>
      <c r="E10" s="157"/>
      <c r="F10" s="148"/>
      <c r="G10" s="158"/>
      <c r="H10" s="210"/>
      <c r="I10" s="62"/>
      <c r="J10" s="196"/>
      <c r="K10" s="196"/>
      <c r="L10" s="73" t="s">
        <v>85</v>
      </c>
      <c r="M10" s="48">
        <v>3</v>
      </c>
    </row>
    <row r="11" spans="1:14" ht="16.5">
      <c r="A11" s="65">
        <v>45878</v>
      </c>
      <c r="B11" s="91"/>
      <c r="C11" s="93"/>
      <c r="D11" s="157"/>
      <c r="F11" s="148"/>
      <c r="G11" s="158"/>
      <c r="H11" s="210"/>
      <c r="I11" s="62"/>
      <c r="J11" s="195"/>
      <c r="K11" s="196"/>
      <c r="L11" s="206" t="s">
        <v>86</v>
      </c>
    </row>
    <row r="12" spans="1:14" ht="16.5">
      <c r="A12" s="65">
        <v>45879</v>
      </c>
      <c r="B12" s="91"/>
      <c r="C12" s="93"/>
      <c r="D12" s="140"/>
      <c r="E12" s="164"/>
      <c r="F12" s="148"/>
      <c r="G12" s="158"/>
      <c r="H12" s="210"/>
      <c r="I12" s="62"/>
      <c r="J12" s="196"/>
      <c r="K12" s="196"/>
      <c r="L12" s="49" t="s">
        <v>87</v>
      </c>
      <c r="M12" s="49" t="s">
        <v>3</v>
      </c>
    </row>
    <row r="13" spans="1:14" ht="16.5">
      <c r="A13" s="65">
        <v>45880</v>
      </c>
      <c r="B13" s="91"/>
      <c r="C13" s="93"/>
      <c r="D13" s="140"/>
      <c r="E13" s="157"/>
      <c r="F13" s="148"/>
      <c r="G13" s="158"/>
      <c r="H13" s="210"/>
      <c r="I13" s="62"/>
      <c r="J13" s="195"/>
      <c r="K13" s="196"/>
      <c r="L13" s="49" t="s">
        <v>44</v>
      </c>
      <c r="M13" s="49" t="s">
        <v>88</v>
      </c>
    </row>
    <row r="14" spans="1:14" ht="18" customHeight="1">
      <c r="A14" s="65">
        <v>45881</v>
      </c>
      <c r="B14" s="91"/>
      <c r="C14" s="93"/>
      <c r="D14" s="140"/>
      <c r="E14" s="159"/>
      <c r="F14" s="160"/>
      <c r="G14" s="161"/>
      <c r="H14" s="210"/>
      <c r="I14" s="62"/>
      <c r="J14" s="195"/>
      <c r="K14" s="196"/>
      <c r="L14" s="49" t="s">
        <v>42</v>
      </c>
      <c r="M14" s="49" t="s">
        <v>51</v>
      </c>
    </row>
    <row r="15" spans="1:14" ht="16.5">
      <c r="A15" s="65">
        <v>45882</v>
      </c>
      <c r="B15" s="91"/>
      <c r="C15" s="93"/>
      <c r="D15" s="140"/>
      <c r="E15" s="147"/>
      <c r="F15" s="148"/>
      <c r="G15" s="149"/>
      <c r="H15" s="210"/>
      <c r="I15" s="62"/>
      <c r="J15" s="195"/>
      <c r="K15" s="196"/>
      <c r="L15" s="49"/>
      <c r="M15" s="49"/>
    </row>
    <row r="16" spans="1:14" ht="16.5">
      <c r="A16" s="65">
        <v>45883</v>
      </c>
      <c r="B16" s="91"/>
      <c r="C16" s="93"/>
      <c r="D16" s="141"/>
      <c r="E16" s="147"/>
      <c r="F16" s="148"/>
      <c r="G16" s="149"/>
      <c r="H16" s="210"/>
      <c r="I16" s="62"/>
      <c r="J16" s="195"/>
      <c r="K16" s="196"/>
      <c r="L16" s="386" t="s">
        <v>74</v>
      </c>
      <c r="M16" s="387"/>
    </row>
    <row r="17" spans="1:14" ht="16.5">
      <c r="A17" s="65">
        <v>45884</v>
      </c>
      <c r="B17" s="91"/>
      <c r="C17" s="93"/>
      <c r="D17" s="142"/>
      <c r="E17" s="147"/>
      <c r="F17" s="148"/>
      <c r="G17" s="149"/>
      <c r="H17" s="210"/>
      <c r="I17" s="187"/>
      <c r="J17" s="196"/>
      <c r="K17" s="196"/>
    </row>
    <row r="18" spans="1:14" ht="16.5">
      <c r="A18" s="65">
        <v>45885</v>
      </c>
      <c r="B18" s="91"/>
      <c r="C18" s="93"/>
      <c r="D18" s="140"/>
      <c r="E18" s="147"/>
      <c r="F18" s="148"/>
      <c r="G18" s="149"/>
      <c r="H18" s="210"/>
      <c r="I18" s="188"/>
      <c r="J18" s="195"/>
      <c r="K18" s="196"/>
      <c r="L18" s="72" t="s">
        <v>76</v>
      </c>
      <c r="M18" s="206">
        <v>1</v>
      </c>
    </row>
    <row r="19" spans="1:14" ht="16.5">
      <c r="A19" s="65">
        <v>45886</v>
      </c>
      <c r="B19" s="91"/>
      <c r="C19" s="93"/>
      <c r="D19" s="140"/>
      <c r="E19" s="147"/>
      <c r="F19" s="148"/>
      <c r="G19" s="149"/>
      <c r="H19" s="210"/>
      <c r="I19" s="187"/>
      <c r="J19" s="196"/>
      <c r="K19" s="201"/>
      <c r="L19" s="208" t="s">
        <v>77</v>
      </c>
      <c r="M19" s="208">
        <v>0.5</v>
      </c>
      <c r="N19" s="208"/>
    </row>
    <row r="20" spans="1:14" ht="16.5">
      <c r="A20" s="65">
        <v>45887</v>
      </c>
      <c r="B20" s="91"/>
      <c r="C20" s="93"/>
      <c r="D20" s="143"/>
      <c r="E20" s="147"/>
      <c r="F20" s="148"/>
      <c r="G20" s="149"/>
      <c r="H20" s="210"/>
      <c r="I20" s="62"/>
      <c r="J20" s="195"/>
      <c r="K20" s="196"/>
      <c r="L20" s="208"/>
      <c r="M20" s="208"/>
      <c r="N20" s="208"/>
    </row>
    <row r="21" spans="1:14" ht="16.5">
      <c r="A21" s="65">
        <v>45888</v>
      </c>
      <c r="B21" s="91"/>
      <c r="C21" s="93"/>
      <c r="D21" s="140"/>
      <c r="E21" s="147"/>
      <c r="F21" s="148"/>
      <c r="G21" s="149"/>
      <c r="H21" s="210"/>
      <c r="I21" s="62"/>
      <c r="J21" s="205"/>
      <c r="K21" s="198"/>
      <c r="L21" s="208"/>
      <c r="M21" s="207"/>
      <c r="N21" s="207"/>
    </row>
    <row r="22" spans="1:14" ht="16.5">
      <c r="A22" s="65">
        <v>45889</v>
      </c>
      <c r="B22" s="91"/>
      <c r="C22" s="93"/>
      <c r="D22" s="140"/>
      <c r="E22" s="147"/>
      <c r="F22" s="148"/>
      <c r="G22" s="149"/>
      <c r="H22" s="210"/>
      <c r="I22" s="62"/>
      <c r="J22" s="205"/>
      <c r="K22" s="201"/>
      <c r="L22" s="207" t="s">
        <v>17</v>
      </c>
      <c r="M22" s="207"/>
      <c r="N22" s="207"/>
    </row>
    <row r="23" spans="1:14" ht="16.5">
      <c r="A23" s="65">
        <v>45890</v>
      </c>
      <c r="B23" s="91"/>
      <c r="C23" s="93"/>
      <c r="D23" s="140"/>
      <c r="E23" s="147"/>
      <c r="F23" s="148"/>
      <c r="G23" s="149"/>
      <c r="H23" s="210"/>
      <c r="I23" s="62"/>
      <c r="J23" s="203"/>
      <c r="K23" s="198"/>
      <c r="L23" s="207" t="s">
        <v>79</v>
      </c>
      <c r="M23" s="207"/>
      <c r="N23" s="207"/>
    </row>
    <row r="24" spans="1:14" ht="16.5">
      <c r="A24" s="65">
        <v>45891</v>
      </c>
      <c r="B24" s="91"/>
      <c r="C24" s="93"/>
      <c r="D24" s="140"/>
      <c r="E24" s="147"/>
      <c r="F24" s="148"/>
      <c r="G24" s="149"/>
      <c r="H24" s="210"/>
      <c r="I24" s="62"/>
      <c r="J24" s="197"/>
      <c r="K24" s="198"/>
      <c r="L24" s="207"/>
    </row>
    <row r="25" spans="1:14" ht="16.5">
      <c r="A25" s="65">
        <v>45892</v>
      </c>
      <c r="B25" s="91"/>
      <c r="C25" s="93"/>
      <c r="D25" s="140"/>
      <c r="E25" s="147"/>
      <c r="F25" s="148"/>
      <c r="G25" s="149"/>
      <c r="I25" s="62"/>
      <c r="J25" s="174" t="s">
        <v>93</v>
      </c>
      <c r="K25" s="175">
        <f>SUM(K4:K24)</f>
        <v>0</v>
      </c>
    </row>
    <row r="26" spans="1:14" ht="16.5">
      <c r="A26" s="65">
        <v>45893</v>
      </c>
      <c r="B26" s="91"/>
      <c r="C26" s="93"/>
      <c r="D26" s="140"/>
      <c r="E26" s="147"/>
      <c r="F26" s="148"/>
      <c r="G26" s="149"/>
      <c r="H26" s="210"/>
      <c r="I26" s="62"/>
      <c r="J26" s="19"/>
      <c r="K26" s="12"/>
    </row>
    <row r="27" spans="1:14" ht="16.5">
      <c r="A27" s="65">
        <v>45894</v>
      </c>
      <c r="B27" s="91"/>
      <c r="C27" s="93"/>
      <c r="D27" s="144"/>
      <c r="E27" s="147"/>
      <c r="F27" s="148"/>
      <c r="G27" s="149"/>
      <c r="H27" s="210"/>
      <c r="I27" s="62"/>
      <c r="J27" s="210" t="s">
        <v>52</v>
      </c>
    </row>
    <row r="28" spans="1:14" ht="15.75" customHeight="1">
      <c r="A28" s="65">
        <v>45895</v>
      </c>
      <c r="B28" s="91"/>
      <c r="C28" s="93"/>
      <c r="D28" s="145"/>
      <c r="E28" s="147"/>
      <c r="F28" s="148"/>
      <c r="G28" s="149"/>
      <c r="H28" s="210"/>
      <c r="I28" s="62"/>
      <c r="J28" s="390"/>
      <c r="K28" s="390"/>
      <c r="L28" s="390"/>
      <c r="M28" s="390"/>
      <c r="N28" s="390"/>
    </row>
    <row r="29" spans="1:14" ht="22.5" customHeight="1">
      <c r="A29" s="65">
        <v>45896</v>
      </c>
      <c r="B29" s="91"/>
      <c r="C29" s="93"/>
      <c r="D29" s="140"/>
      <c r="E29" s="147"/>
      <c r="F29" s="148"/>
      <c r="G29" s="149"/>
      <c r="H29" s="210"/>
      <c r="I29" s="62"/>
      <c r="J29" s="390"/>
      <c r="K29" s="390"/>
      <c r="L29" s="390"/>
      <c r="M29" s="390"/>
      <c r="N29" s="390"/>
    </row>
    <row r="30" spans="1:14" ht="21.75" customHeight="1">
      <c r="A30" s="65">
        <v>45897</v>
      </c>
      <c r="B30" s="91"/>
      <c r="C30" s="93"/>
      <c r="D30" s="140"/>
      <c r="E30" s="147"/>
      <c r="F30" s="148"/>
      <c r="G30" s="149"/>
      <c r="H30" s="210"/>
      <c r="I30" s="62"/>
      <c r="J30" s="206" t="s">
        <v>56</v>
      </c>
    </row>
    <row r="31" spans="1:14" ht="16.5">
      <c r="A31" s="65">
        <v>45898</v>
      </c>
      <c r="B31" s="91"/>
      <c r="C31" s="93"/>
      <c r="D31" s="140"/>
      <c r="E31" s="147"/>
      <c r="F31" s="148"/>
      <c r="G31" s="149"/>
      <c r="H31" s="210"/>
      <c r="I31" s="62"/>
      <c r="L31" s="209" t="s">
        <v>65</v>
      </c>
      <c r="M31" s="209">
        <v>10</v>
      </c>
    </row>
    <row r="32" spans="1:14" ht="16.5">
      <c r="A32" s="65">
        <v>45899</v>
      </c>
      <c r="B32" s="91"/>
      <c r="C32" s="93"/>
      <c r="D32" s="140"/>
      <c r="E32" s="147"/>
      <c r="F32" s="148"/>
      <c r="G32" s="149"/>
      <c r="H32" s="210"/>
      <c r="I32" s="62"/>
      <c r="L32" s="209" t="s">
        <v>66</v>
      </c>
      <c r="M32" s="209">
        <v>15</v>
      </c>
    </row>
    <row r="33" spans="1:14" ht="16.5">
      <c r="A33" s="65">
        <v>45900</v>
      </c>
      <c r="B33" s="91"/>
      <c r="C33" s="94"/>
      <c r="D33" s="146"/>
      <c r="E33" s="150"/>
      <c r="F33" s="151"/>
      <c r="G33" s="152"/>
      <c r="H33" s="210"/>
      <c r="I33" s="62"/>
      <c r="J33" s="210"/>
      <c r="L33" s="66" t="s">
        <v>64</v>
      </c>
      <c r="M33" s="209">
        <v>15</v>
      </c>
      <c r="N33" s="210"/>
    </row>
    <row r="34" spans="1:14" ht="16.5">
      <c r="A34" s="65"/>
      <c r="B34" s="210"/>
      <c r="C34" s="210"/>
      <c r="D34" s="210"/>
      <c r="E34" s="210"/>
      <c r="F34" s="34"/>
      <c r="G34" s="34">
        <v>7.5</v>
      </c>
      <c r="H34" s="210"/>
      <c r="I34" s="210"/>
      <c r="L34" s="209" t="s">
        <v>67</v>
      </c>
      <c r="M34" s="209">
        <v>20</v>
      </c>
    </row>
    <row r="35" spans="1:14">
      <c r="A35" s="206" t="s">
        <v>17</v>
      </c>
      <c r="B35" s="206">
        <v>3</v>
      </c>
      <c r="L35" s="209" t="s">
        <v>68</v>
      </c>
      <c r="M35" s="209">
        <v>15</v>
      </c>
    </row>
    <row r="36" spans="1:14">
      <c r="L36" s="209" t="s">
        <v>22</v>
      </c>
      <c r="M36" s="209">
        <v>15</v>
      </c>
    </row>
    <row r="37" spans="1:14">
      <c r="L37" s="209" t="s">
        <v>69</v>
      </c>
      <c r="M37" s="209">
        <f>SUM(M31:M36)/60</f>
        <v>1.5</v>
      </c>
    </row>
    <row r="55" spans="5:5">
      <c r="E55" s="15"/>
    </row>
    <row r="56" spans="5:5">
      <c r="E56" s="15"/>
    </row>
    <row r="58" spans="5:5">
      <c r="E58" s="15"/>
    </row>
  </sheetData>
  <mergeCells count="2">
    <mergeCell ref="L16:M16"/>
    <mergeCell ref="J28:N29"/>
  </mergeCells>
  <conditionalFormatting sqref="B3:B4 B6:B33">
    <cfRule type="cellIs" dxfId="44" priority="2" operator="lessThan">
      <formula>$B$35</formula>
    </cfRule>
    <cfRule type="cellIs" dxfId="43" priority="3" operator="between">
      <formula>$B$35</formula>
      <formula>3</formula>
    </cfRule>
    <cfRule type="cellIs" dxfId="42" priority="4" operator="greaterThan">
      <formula>$B$35</formula>
    </cfRule>
  </conditionalFormatting>
  <conditionalFormatting sqref="A3:A34">
    <cfRule type="expression" dxfId="41" priority="1">
      <formula>WEEKDAY(A3,2)&gt;5</formula>
    </cfRule>
  </conditionalFormatting>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J5" sqref="J5:K24"/>
    </sheetView>
  </sheetViews>
  <sheetFormatPr defaultColWidth="9.140625" defaultRowHeight="15"/>
  <cols>
    <col min="1" max="1" width="8.85546875" style="217" customWidth="1"/>
    <col min="2" max="2" width="6.28515625" style="217" customWidth="1"/>
    <col min="3" max="3" width="8.42578125" style="217" customWidth="1"/>
    <col min="4" max="4" width="6.42578125" style="217" customWidth="1"/>
    <col min="5" max="5" width="6.28515625" style="217" customWidth="1"/>
    <col min="6" max="6" width="9.140625" style="217" customWidth="1"/>
    <col min="7" max="7" width="9.140625" style="217"/>
    <col min="8" max="8" width="6.42578125" style="217" customWidth="1"/>
    <col min="9" max="9" width="67.5703125" style="217" customWidth="1"/>
    <col min="10" max="10" width="61.42578125" style="217" customWidth="1"/>
    <col min="11" max="11" width="15.5703125" style="217" customWidth="1"/>
    <col min="12" max="12" width="19.85546875" style="217" bestFit="1" customWidth="1"/>
    <col min="13" max="13" width="9.140625" style="217"/>
    <col min="14" max="14" width="5.140625" style="217" customWidth="1"/>
    <col min="15" max="16384" width="9.140625" style="217"/>
  </cols>
  <sheetData>
    <row r="1" spans="1:17" ht="58.5" customHeight="1" thickBot="1">
      <c r="A1" s="5" t="s">
        <v>12</v>
      </c>
      <c r="B1" s="6" t="s">
        <v>0</v>
      </c>
      <c r="C1" s="81" t="s">
        <v>58</v>
      </c>
      <c r="D1" s="81" t="s">
        <v>61</v>
      </c>
      <c r="E1" s="82" t="s">
        <v>53</v>
      </c>
      <c r="F1" s="33" t="s">
        <v>70</v>
      </c>
      <c r="G1" s="33" t="s">
        <v>1</v>
      </c>
      <c r="H1" s="32" t="s">
        <v>89</v>
      </c>
      <c r="I1" s="55" t="s">
        <v>91</v>
      </c>
      <c r="J1" s="20" t="s">
        <v>2</v>
      </c>
      <c r="K1" s="37"/>
      <c r="L1" s="38" t="s">
        <v>34</v>
      </c>
      <c r="M1" s="39">
        <f>SUM(B3:B33)</f>
        <v>0</v>
      </c>
      <c r="N1" s="217" t="s">
        <v>95</v>
      </c>
      <c r="Q1" s="217" t="s">
        <v>103</v>
      </c>
    </row>
    <row r="2" spans="1:17" ht="18" thickTop="1" thickBot="1">
      <c r="B2" s="221">
        <f>SUM(B3:B33)</f>
        <v>0</v>
      </c>
      <c r="C2" s="92">
        <f t="shared" ref="C2:G2" si="0">SUM(C3:C33)</f>
        <v>0</v>
      </c>
      <c r="D2" s="92">
        <f t="shared" si="0"/>
        <v>0</v>
      </c>
      <c r="E2" s="16">
        <f t="shared" si="0"/>
        <v>0</v>
      </c>
      <c r="F2" s="221">
        <f t="shared" si="0"/>
        <v>0</v>
      </c>
      <c r="G2" s="221">
        <f t="shared" si="0"/>
        <v>0</v>
      </c>
      <c r="H2" s="16">
        <f>SUM(H3:H33)</f>
        <v>0</v>
      </c>
      <c r="I2" s="186">
        <f>SUM(E2:G2)</f>
        <v>0</v>
      </c>
      <c r="J2" s="221"/>
      <c r="K2" s="217" t="s">
        <v>13</v>
      </c>
      <c r="L2" s="40" t="s">
        <v>35</v>
      </c>
      <c r="M2" s="40">
        <f>SUM(M3:M4)</f>
        <v>7.5</v>
      </c>
      <c r="N2" s="217">
        <f>SUM(N3:N27)</f>
        <v>12.5</v>
      </c>
    </row>
    <row r="3" spans="1:17" ht="17.25" thickTop="1">
      <c r="A3" s="65">
        <v>45901</v>
      </c>
      <c r="B3" s="91"/>
      <c r="C3" s="93"/>
      <c r="D3" s="153"/>
      <c r="E3" s="154"/>
      <c r="F3" s="162"/>
      <c r="G3" s="156"/>
      <c r="H3" s="16"/>
      <c r="I3" s="62"/>
      <c r="J3" s="21" t="s">
        <v>41</v>
      </c>
      <c r="K3" s="56" t="s">
        <v>43</v>
      </c>
      <c r="L3" s="41" t="s">
        <v>15</v>
      </c>
      <c r="M3" s="41">
        <f>SUM(C3:E33)</f>
        <v>0</v>
      </c>
      <c r="N3" s="217">
        <v>8</v>
      </c>
    </row>
    <row r="4" spans="1:17" ht="19.5" customHeight="1">
      <c r="A4" s="65">
        <v>45902</v>
      </c>
      <c r="B4" s="91"/>
      <c r="C4" s="93"/>
      <c r="D4" s="153"/>
      <c r="E4" s="157"/>
      <c r="F4" s="148"/>
      <c r="G4" s="158"/>
      <c r="H4" s="16"/>
      <c r="I4" s="62"/>
      <c r="J4" s="195"/>
      <c r="K4" s="196"/>
      <c r="L4" s="41" t="s">
        <v>90</v>
      </c>
      <c r="M4" s="41">
        <f>SUM(F3:H34)</f>
        <v>7.5</v>
      </c>
      <c r="N4" s="217">
        <v>8</v>
      </c>
    </row>
    <row r="5" spans="1:17" ht="16.5">
      <c r="A5" s="65">
        <v>45903</v>
      </c>
      <c r="C5" s="93"/>
      <c r="D5" s="153"/>
      <c r="E5" s="157"/>
      <c r="F5" s="155"/>
      <c r="G5" s="163"/>
      <c r="H5" s="16"/>
      <c r="I5" s="62"/>
      <c r="J5" s="203"/>
      <c r="K5" s="198"/>
      <c r="N5" s="59">
        <v>8</v>
      </c>
    </row>
    <row r="6" spans="1:17" ht="16.5">
      <c r="A6" s="65">
        <v>45904</v>
      </c>
      <c r="B6" s="91"/>
      <c r="C6" s="93"/>
      <c r="D6" s="154"/>
      <c r="E6" s="157"/>
      <c r="F6" s="148"/>
      <c r="G6" s="158"/>
      <c r="H6" s="16"/>
      <c r="I6" s="62"/>
      <c r="J6" s="204"/>
      <c r="K6" s="196"/>
      <c r="L6" s="18" t="s">
        <v>19</v>
      </c>
      <c r="M6" s="18" t="s">
        <v>21</v>
      </c>
      <c r="O6" s="211" t="s">
        <v>65</v>
      </c>
      <c r="P6" s="211">
        <v>10</v>
      </c>
    </row>
    <row r="7" spans="1:17" ht="16.5">
      <c r="A7" s="65">
        <v>45905</v>
      </c>
      <c r="B7" s="91"/>
      <c r="C7" s="93"/>
      <c r="D7" s="140"/>
      <c r="E7" s="157"/>
      <c r="F7" s="148"/>
      <c r="G7" s="158"/>
      <c r="H7" s="16"/>
      <c r="I7" s="62"/>
      <c r="J7" s="213"/>
      <c r="K7" s="196"/>
      <c r="L7" s="45" t="s">
        <v>97</v>
      </c>
      <c r="M7" s="46" t="s">
        <v>84</v>
      </c>
      <c r="O7" s="211" t="s">
        <v>66</v>
      </c>
      <c r="P7" s="211">
        <v>20</v>
      </c>
    </row>
    <row r="8" spans="1:17" ht="16.5">
      <c r="A8" s="65">
        <v>45906</v>
      </c>
      <c r="B8" s="91"/>
      <c r="C8" s="93"/>
      <c r="D8" s="140"/>
      <c r="E8" s="157"/>
      <c r="F8" s="148"/>
      <c r="G8" s="158"/>
      <c r="H8" s="16"/>
      <c r="I8" s="62"/>
      <c r="J8" s="215"/>
      <c r="K8" s="196"/>
      <c r="L8" s="73" t="s">
        <v>99</v>
      </c>
      <c r="M8" s="48" t="s">
        <v>23</v>
      </c>
      <c r="O8" s="211" t="s">
        <v>96</v>
      </c>
      <c r="P8" s="211">
        <v>30</v>
      </c>
    </row>
    <row r="9" spans="1:17" ht="16.5">
      <c r="A9" s="65">
        <v>45907</v>
      </c>
      <c r="B9" s="91"/>
      <c r="C9" s="93"/>
      <c r="D9" s="140"/>
      <c r="E9" s="157"/>
      <c r="F9" s="148"/>
      <c r="G9" s="158"/>
      <c r="H9" s="16"/>
      <c r="I9" s="62"/>
      <c r="J9" s="202"/>
      <c r="K9" s="196"/>
      <c r="L9" s="46"/>
      <c r="M9" s="46"/>
      <c r="O9" s="212" t="s">
        <v>67</v>
      </c>
      <c r="P9" s="212">
        <v>15</v>
      </c>
    </row>
    <row r="10" spans="1:17" ht="16.5">
      <c r="A10" s="65">
        <v>45908</v>
      </c>
      <c r="B10" s="91"/>
      <c r="C10" s="93"/>
      <c r="D10" s="140"/>
      <c r="E10" s="157"/>
      <c r="F10" s="148"/>
      <c r="G10" s="158"/>
      <c r="H10" s="221"/>
      <c r="I10" s="62"/>
      <c r="J10" s="196"/>
      <c r="K10" s="196"/>
      <c r="L10" s="73" t="s">
        <v>85</v>
      </c>
      <c r="M10" s="48">
        <v>3</v>
      </c>
      <c r="O10" s="212" t="s">
        <v>68</v>
      </c>
      <c r="P10" s="212">
        <v>10</v>
      </c>
    </row>
    <row r="11" spans="1:17" ht="16.5">
      <c r="A11" s="65">
        <v>45909</v>
      </c>
      <c r="B11" s="91"/>
      <c r="C11" s="93"/>
      <c r="D11" s="157"/>
      <c r="F11" s="148"/>
      <c r="G11" s="158"/>
      <c r="H11" s="221"/>
      <c r="I11" s="62"/>
      <c r="J11" s="195"/>
      <c r="K11" s="196"/>
      <c r="L11" s="217" t="s">
        <v>86</v>
      </c>
      <c r="O11" s="212" t="s">
        <v>22</v>
      </c>
      <c r="P11" s="212">
        <v>15</v>
      </c>
    </row>
    <row r="12" spans="1:17" ht="16.5">
      <c r="A12" s="65">
        <v>45910</v>
      </c>
      <c r="B12" s="91"/>
      <c r="C12" s="93"/>
      <c r="D12" s="140"/>
      <c r="E12" s="164"/>
      <c r="F12" s="148"/>
      <c r="G12" s="158"/>
      <c r="H12" s="221"/>
      <c r="I12" s="62"/>
      <c r="J12" s="196"/>
      <c r="K12" s="196"/>
      <c r="L12" s="49" t="s">
        <v>87</v>
      </c>
      <c r="M12" s="49" t="s">
        <v>3</v>
      </c>
      <c r="O12" s="214"/>
      <c r="P12" s="214"/>
    </row>
    <row r="13" spans="1:17" ht="16.5">
      <c r="A13" s="65">
        <v>45911</v>
      </c>
      <c r="B13" s="91"/>
      <c r="C13" s="93"/>
      <c r="D13" s="140"/>
      <c r="E13" s="157"/>
      <c r="F13" s="148"/>
      <c r="G13" s="158"/>
      <c r="H13" s="221"/>
      <c r="I13" s="62"/>
      <c r="J13" s="195"/>
      <c r="K13" s="196"/>
      <c r="L13" s="49" t="s">
        <v>44</v>
      </c>
      <c r="M13" s="49" t="s">
        <v>88</v>
      </c>
      <c r="O13" s="214" t="s">
        <v>98</v>
      </c>
      <c r="P13" s="214">
        <v>15</v>
      </c>
    </row>
    <row r="14" spans="1:17" ht="18" customHeight="1">
      <c r="A14" s="65">
        <v>45912</v>
      </c>
      <c r="B14" s="91"/>
      <c r="C14" s="93"/>
      <c r="D14" s="140"/>
      <c r="E14" s="159"/>
      <c r="F14" s="160"/>
      <c r="G14" s="161"/>
      <c r="H14" s="221"/>
      <c r="I14" s="62"/>
      <c r="J14" s="204"/>
      <c r="K14" s="196"/>
      <c r="L14" s="49" t="s">
        <v>42</v>
      </c>
      <c r="M14" s="49" t="s">
        <v>51</v>
      </c>
      <c r="O14" s="220" t="s">
        <v>69</v>
      </c>
      <c r="P14" s="220">
        <f>SUM(P6:P13)/60</f>
        <v>1.9166666666666667</v>
      </c>
    </row>
    <row r="15" spans="1:17" ht="16.5">
      <c r="A15" s="65">
        <v>45913</v>
      </c>
      <c r="B15" s="91"/>
      <c r="C15" s="93"/>
      <c r="D15" s="140"/>
      <c r="E15" s="147"/>
      <c r="F15" s="148"/>
      <c r="G15" s="149"/>
      <c r="H15" s="221"/>
      <c r="I15" s="62"/>
      <c r="J15" s="204"/>
      <c r="K15" s="196"/>
      <c r="L15" s="49"/>
      <c r="M15" s="49"/>
    </row>
    <row r="16" spans="1:17" ht="16.5">
      <c r="A16" s="65">
        <v>45914</v>
      </c>
      <c r="B16" s="91"/>
      <c r="C16" s="93"/>
      <c r="D16" s="141"/>
      <c r="E16" s="147"/>
      <c r="F16" s="148"/>
      <c r="G16" s="149"/>
      <c r="H16" s="221"/>
      <c r="I16" s="62"/>
      <c r="J16" s="204"/>
      <c r="K16" s="196"/>
      <c r="L16" s="386" t="s">
        <v>100</v>
      </c>
      <c r="M16" s="387"/>
    </row>
    <row r="17" spans="1:14" ht="16.5">
      <c r="A17" s="65">
        <v>45915</v>
      </c>
      <c r="B17" s="91"/>
      <c r="C17" s="93"/>
      <c r="D17" s="142"/>
      <c r="E17" s="147"/>
      <c r="F17" s="148"/>
      <c r="G17" s="149"/>
      <c r="H17" s="221"/>
      <c r="I17" s="187"/>
      <c r="J17" s="202"/>
      <c r="K17" s="196"/>
    </row>
    <row r="18" spans="1:14" ht="16.5">
      <c r="A18" s="65">
        <v>45916</v>
      </c>
      <c r="B18" s="91"/>
      <c r="C18" s="93"/>
      <c r="D18" s="140"/>
      <c r="E18" s="147"/>
      <c r="F18" s="148"/>
      <c r="G18" s="149"/>
      <c r="H18" s="221"/>
      <c r="I18" s="188"/>
      <c r="J18" s="204"/>
      <c r="K18" s="196"/>
      <c r="L18" s="72"/>
    </row>
    <row r="19" spans="1:14" ht="16.5">
      <c r="A19" s="65">
        <v>45917</v>
      </c>
      <c r="B19" s="91"/>
      <c r="C19" s="93"/>
      <c r="D19" s="140"/>
      <c r="E19" s="147"/>
      <c r="F19" s="148"/>
      <c r="G19" s="149"/>
      <c r="H19" s="221"/>
      <c r="I19" s="187"/>
      <c r="J19" s="202"/>
      <c r="K19" s="201"/>
      <c r="L19" s="219"/>
      <c r="M19" s="219"/>
      <c r="N19" s="219"/>
    </row>
    <row r="20" spans="1:14" ht="16.5">
      <c r="A20" s="65">
        <v>45918</v>
      </c>
      <c r="B20" s="91"/>
      <c r="C20" s="93"/>
      <c r="D20" s="143"/>
      <c r="E20" s="147"/>
      <c r="F20" s="148"/>
      <c r="G20" s="149"/>
      <c r="H20" s="221"/>
      <c r="I20" s="62"/>
      <c r="J20" s="204"/>
      <c r="K20" s="202"/>
      <c r="L20" s="391"/>
      <c r="M20" s="343"/>
      <c r="N20" s="219">
        <v>-0.5</v>
      </c>
    </row>
    <row r="21" spans="1:14" ht="16.5">
      <c r="A21" s="65">
        <v>45919</v>
      </c>
      <c r="B21" s="91"/>
      <c r="C21" s="93"/>
      <c r="D21" s="140"/>
      <c r="E21" s="147"/>
      <c r="F21" s="148"/>
      <c r="G21" s="149"/>
      <c r="H21" s="221"/>
      <c r="I21" s="62"/>
      <c r="J21" s="205"/>
      <c r="K21" s="198"/>
      <c r="L21" s="219"/>
      <c r="M21" s="218"/>
      <c r="N21" s="218">
        <v>-1</v>
      </c>
    </row>
    <row r="22" spans="1:14" ht="16.5">
      <c r="A22" s="65">
        <v>45920</v>
      </c>
      <c r="B22" s="91"/>
      <c r="C22" s="93"/>
      <c r="D22" s="140"/>
      <c r="E22" s="147"/>
      <c r="F22" s="148"/>
      <c r="G22" s="149"/>
      <c r="H22" s="221"/>
      <c r="I22" s="62"/>
      <c r="J22" s="205"/>
      <c r="K22" s="201"/>
      <c r="L22" s="218"/>
      <c r="M22" s="218"/>
      <c r="N22" s="218">
        <v>-6</v>
      </c>
    </row>
    <row r="23" spans="1:14" ht="16.5">
      <c r="A23" s="65">
        <v>45921</v>
      </c>
      <c r="B23" s="91"/>
      <c r="C23" s="93"/>
      <c r="D23" s="140"/>
      <c r="E23" s="147"/>
      <c r="F23" s="148"/>
      <c r="G23" s="149"/>
      <c r="H23" s="221"/>
      <c r="I23" s="62"/>
      <c r="J23" s="203"/>
      <c r="K23" s="198"/>
      <c r="L23" s="218"/>
      <c r="M23" s="218"/>
      <c r="N23" s="218">
        <v>-1</v>
      </c>
    </row>
    <row r="24" spans="1:14" ht="16.5">
      <c r="A24" s="65">
        <v>45922</v>
      </c>
      <c r="B24" s="91"/>
      <c r="C24" s="93"/>
      <c r="D24" s="140"/>
      <c r="E24" s="147"/>
      <c r="F24" s="148"/>
      <c r="G24" s="149"/>
      <c r="H24" s="221"/>
      <c r="I24" s="62"/>
      <c r="J24" s="203"/>
      <c r="K24" s="198"/>
      <c r="L24" s="218"/>
      <c r="N24" s="218">
        <v>-3</v>
      </c>
    </row>
    <row r="25" spans="1:14" ht="16.5">
      <c r="A25" s="65">
        <v>45923</v>
      </c>
      <c r="B25" s="91"/>
      <c r="C25" s="93"/>
      <c r="D25" s="140"/>
      <c r="E25" s="147"/>
      <c r="F25" s="148"/>
      <c r="G25" s="149"/>
      <c r="I25" s="62"/>
      <c r="J25" s="174" t="s">
        <v>93</v>
      </c>
      <c r="K25" s="175">
        <f>SUM(K4:K24)</f>
        <v>0</v>
      </c>
    </row>
    <row r="26" spans="1:14" ht="16.5">
      <c r="A26" s="65">
        <v>45924</v>
      </c>
      <c r="B26" s="91"/>
      <c r="C26" s="93"/>
      <c r="D26" s="140"/>
      <c r="E26" s="147"/>
      <c r="F26" s="148"/>
      <c r="G26" s="149"/>
      <c r="H26" s="221"/>
      <c r="I26" s="62"/>
      <c r="J26" s="19"/>
      <c r="K26" s="12"/>
    </row>
    <row r="27" spans="1:14" ht="16.5">
      <c r="A27" s="65">
        <v>45925</v>
      </c>
      <c r="B27" s="91"/>
      <c r="C27" s="93"/>
      <c r="D27" s="144"/>
      <c r="E27" s="147"/>
      <c r="F27" s="148"/>
      <c r="G27" s="149"/>
      <c r="H27" s="221"/>
      <c r="I27" s="62"/>
      <c r="J27" s="221" t="s">
        <v>52</v>
      </c>
    </row>
    <row r="28" spans="1:14" ht="15.75" customHeight="1">
      <c r="A28" s="65">
        <v>45926</v>
      </c>
      <c r="B28" s="91"/>
      <c r="C28" s="93"/>
      <c r="D28" s="145"/>
      <c r="E28" s="147"/>
      <c r="F28" s="148"/>
      <c r="G28" s="149"/>
      <c r="H28" s="221"/>
      <c r="I28" s="62"/>
      <c r="J28" s="392" t="s">
        <v>101</v>
      </c>
      <c r="K28" s="390"/>
      <c r="L28" s="390"/>
      <c r="M28" s="390"/>
      <c r="N28" s="390"/>
    </row>
    <row r="29" spans="1:14" ht="22.5" customHeight="1">
      <c r="A29" s="65">
        <v>45927</v>
      </c>
      <c r="B29" s="91"/>
      <c r="C29" s="93"/>
      <c r="D29" s="140"/>
      <c r="E29" s="147"/>
      <c r="F29" s="148"/>
      <c r="G29" s="149"/>
      <c r="H29" s="221"/>
      <c r="I29" s="62"/>
      <c r="J29" s="390"/>
      <c r="K29" s="390"/>
      <c r="L29" s="390"/>
      <c r="M29" s="390"/>
      <c r="N29" s="390"/>
    </row>
    <row r="30" spans="1:14" ht="21.75" customHeight="1">
      <c r="A30" s="65">
        <v>45928</v>
      </c>
      <c r="B30" s="91"/>
      <c r="C30" s="93"/>
      <c r="D30" s="140"/>
      <c r="E30" s="147"/>
      <c r="F30" s="148"/>
      <c r="G30" s="149"/>
      <c r="H30" s="221"/>
      <c r="I30" s="62"/>
      <c r="J30" s="217" t="s">
        <v>56</v>
      </c>
    </row>
    <row r="31" spans="1:14" ht="16.5">
      <c r="A31" s="65">
        <v>45929</v>
      </c>
      <c r="B31" s="91"/>
      <c r="C31" s="93"/>
      <c r="D31" s="140"/>
      <c r="E31" s="147"/>
      <c r="F31" s="148"/>
      <c r="G31" s="149"/>
      <c r="H31" s="221"/>
      <c r="I31" s="62"/>
    </row>
    <row r="32" spans="1:14" ht="16.5">
      <c r="A32" s="65">
        <v>45930</v>
      </c>
      <c r="B32" s="91"/>
      <c r="C32" s="93"/>
      <c r="D32" s="140"/>
      <c r="E32" s="147"/>
      <c r="F32" s="148"/>
      <c r="G32" s="149"/>
      <c r="H32" s="221"/>
      <c r="I32" s="62"/>
    </row>
    <row r="33" spans="1:14" ht="16.5">
      <c r="A33" s="65"/>
      <c r="B33" s="91"/>
      <c r="C33" s="94"/>
      <c r="D33" s="146"/>
      <c r="E33" s="150"/>
      <c r="F33" s="151"/>
      <c r="G33" s="152"/>
      <c r="H33" s="221"/>
      <c r="I33" s="62"/>
      <c r="J33" s="221"/>
      <c r="N33" s="221"/>
    </row>
    <row r="34" spans="1:14" ht="16.5">
      <c r="A34" s="65"/>
      <c r="B34" s="221"/>
      <c r="C34" s="221"/>
      <c r="D34" s="221"/>
      <c r="E34" s="221"/>
      <c r="F34" s="34"/>
      <c r="G34" s="34">
        <v>7.5</v>
      </c>
      <c r="H34" s="221"/>
      <c r="I34" s="221"/>
    </row>
    <row r="35" spans="1:14">
      <c r="A35" s="217" t="s">
        <v>17</v>
      </c>
      <c r="B35" s="217">
        <v>3</v>
      </c>
    </row>
    <row r="55" spans="5:5">
      <c r="E55" s="15"/>
    </row>
    <row r="56" spans="5:5">
      <c r="E56" s="15"/>
    </row>
    <row r="58" spans="5:5">
      <c r="E58" s="15"/>
    </row>
  </sheetData>
  <mergeCells count="3">
    <mergeCell ref="L16:M16"/>
    <mergeCell ref="L20:M20"/>
    <mergeCell ref="J28:N29"/>
  </mergeCells>
  <conditionalFormatting sqref="B3:B4 B6:B33">
    <cfRule type="cellIs" dxfId="35" priority="2" operator="lessThan">
      <formula>$B$35</formula>
    </cfRule>
    <cfRule type="cellIs" dxfId="34" priority="3" operator="between">
      <formula>$B$35</formula>
      <formula>3</formula>
    </cfRule>
    <cfRule type="cellIs" dxfId="33" priority="4" operator="greaterThan">
      <formula>$B$35</formula>
    </cfRule>
  </conditionalFormatting>
  <conditionalFormatting sqref="A3:A34">
    <cfRule type="expression" dxfId="32" priority="1">
      <formula>WEEKDAY(A3,2)&gt;5</formula>
    </cfRule>
  </conditionalFormatting>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17" activePane="bottomLeft" state="frozen"/>
      <selection pane="bottomLeft" activeCell="I15" sqref="I15"/>
    </sheetView>
  </sheetViews>
  <sheetFormatPr defaultColWidth="9.140625" defaultRowHeight="15"/>
  <cols>
    <col min="1" max="1" width="8.85546875" style="233" customWidth="1"/>
    <col min="2" max="2" width="6.28515625" style="233" customWidth="1"/>
    <col min="3" max="3" width="8.42578125" style="233" customWidth="1"/>
    <col min="4" max="4" width="6.42578125" style="233" customWidth="1"/>
    <col min="5" max="5" width="6.28515625" style="233" customWidth="1"/>
    <col min="6" max="6" width="9.140625" style="233" customWidth="1"/>
    <col min="7" max="7" width="9.140625" style="233"/>
    <col min="8" max="8" width="6.42578125" style="233" customWidth="1"/>
    <col min="9" max="9" width="67.5703125" style="233" customWidth="1"/>
    <col min="10" max="10" width="61.42578125" style="233" customWidth="1"/>
    <col min="11" max="11" width="15.5703125" style="233" customWidth="1"/>
    <col min="12" max="12" width="19.85546875" style="233" bestFit="1" customWidth="1"/>
    <col min="13" max="13" width="12.42578125" style="233" customWidth="1"/>
    <col min="14" max="14" width="5.140625" style="233" customWidth="1"/>
    <col min="15" max="16384" width="9.140625" style="233"/>
  </cols>
  <sheetData>
    <row r="1" spans="1:17" ht="58.5" customHeight="1" thickBot="1">
      <c r="A1" s="5" t="s">
        <v>12</v>
      </c>
      <c r="B1" s="6" t="s">
        <v>0</v>
      </c>
      <c r="C1" s="81" t="s">
        <v>58</v>
      </c>
      <c r="D1" s="81" t="s">
        <v>61</v>
      </c>
      <c r="E1" s="82" t="s">
        <v>53</v>
      </c>
      <c r="F1" s="33" t="s">
        <v>70</v>
      </c>
      <c r="G1" s="33" t="s">
        <v>1</v>
      </c>
      <c r="H1" s="32" t="s">
        <v>89</v>
      </c>
      <c r="I1" s="55" t="s">
        <v>91</v>
      </c>
      <c r="J1" s="20" t="s">
        <v>2</v>
      </c>
      <c r="K1" s="37"/>
      <c r="L1" s="38" t="s">
        <v>34</v>
      </c>
      <c r="M1" s="39">
        <f>SUM(B3:B33)</f>
        <v>0</v>
      </c>
      <c r="N1" s="233" t="s">
        <v>95</v>
      </c>
      <c r="Q1" s="233" t="s">
        <v>103</v>
      </c>
    </row>
    <row r="2" spans="1:17" ht="18" thickTop="1" thickBot="1">
      <c r="B2" s="237"/>
      <c r="C2" s="92">
        <f>SUM(C3:C33)</f>
        <v>0</v>
      </c>
      <c r="D2" s="92">
        <f>SUM(D3:D33)</f>
        <v>0</v>
      </c>
      <c r="E2" s="16">
        <f>SUM(E3:E33)</f>
        <v>0</v>
      </c>
      <c r="F2" s="237">
        <f>SUM(F3:F34)</f>
        <v>9</v>
      </c>
      <c r="G2" s="237">
        <f>SUM(G3:G33)</f>
        <v>0</v>
      </c>
      <c r="H2" s="16">
        <f>SUM(H4:H33)</f>
        <v>0</v>
      </c>
      <c r="I2" s="186">
        <f>SUM(E2:G2)</f>
        <v>9</v>
      </c>
      <c r="J2" s="237"/>
      <c r="K2" s="233" t="s">
        <v>13</v>
      </c>
      <c r="L2" s="40" t="s">
        <v>35</v>
      </c>
      <c r="M2" s="40">
        <f>SUM(M3:M4)</f>
        <v>9</v>
      </c>
      <c r="N2" s="233">
        <f>SUM(N3:N31)</f>
        <v>-17.5</v>
      </c>
    </row>
    <row r="3" spans="1:17" ht="17.25" thickTop="1">
      <c r="A3" s="65">
        <v>45931</v>
      </c>
      <c r="B3" s="91"/>
      <c r="C3" s="93"/>
      <c r="D3" s="153"/>
      <c r="E3" s="154"/>
      <c r="F3" s="162"/>
      <c r="G3" s="156"/>
      <c r="I3" s="62"/>
      <c r="J3" s="21" t="s">
        <v>41</v>
      </c>
      <c r="K3" s="56" t="s">
        <v>43</v>
      </c>
      <c r="L3" s="41" t="s">
        <v>15</v>
      </c>
      <c r="M3" s="41">
        <f>SUM(C3:E33)</f>
        <v>0</v>
      </c>
      <c r="N3" s="233">
        <v>-0.5</v>
      </c>
    </row>
    <row r="4" spans="1:17" ht="19.5" customHeight="1">
      <c r="A4" s="65">
        <v>45932</v>
      </c>
      <c r="B4" s="91"/>
      <c r="C4" s="93"/>
      <c r="D4" s="153"/>
      <c r="E4" s="157"/>
      <c r="F4" s="148"/>
      <c r="G4" s="158"/>
      <c r="H4" s="16"/>
      <c r="I4" s="62"/>
      <c r="J4" s="195"/>
      <c r="K4" s="196"/>
      <c r="L4" s="41" t="s">
        <v>90</v>
      </c>
      <c r="M4" s="41">
        <f>SUM(F3:H34)</f>
        <v>9</v>
      </c>
    </row>
    <row r="5" spans="1:17" ht="16.5">
      <c r="A5" s="65">
        <v>45933</v>
      </c>
      <c r="C5" s="93"/>
      <c r="D5" s="153"/>
      <c r="E5" s="157"/>
      <c r="F5" s="155"/>
      <c r="G5" s="163"/>
      <c r="H5" s="16"/>
      <c r="I5" s="62"/>
      <c r="J5" s="203"/>
      <c r="K5" s="198"/>
      <c r="N5" s="59"/>
    </row>
    <row r="6" spans="1:17" ht="16.5">
      <c r="A6" s="65">
        <v>45934</v>
      </c>
      <c r="B6" s="91"/>
      <c r="C6" s="93"/>
      <c r="D6" s="154"/>
      <c r="E6" s="157"/>
      <c r="F6" s="148"/>
      <c r="G6" s="158"/>
      <c r="H6" s="16"/>
      <c r="I6" s="62"/>
      <c r="J6" s="204"/>
      <c r="K6" s="196"/>
      <c r="L6" s="18" t="s">
        <v>19</v>
      </c>
      <c r="M6" s="18" t="s">
        <v>21</v>
      </c>
      <c r="N6" s="233">
        <v>-6</v>
      </c>
      <c r="O6" s="211" t="s">
        <v>65</v>
      </c>
      <c r="P6" s="211">
        <v>10</v>
      </c>
    </row>
    <row r="7" spans="1:17" ht="16.5">
      <c r="A7" s="65">
        <v>45935</v>
      </c>
      <c r="B7" s="91"/>
      <c r="C7" s="93"/>
      <c r="D7" s="140"/>
      <c r="E7" s="157"/>
      <c r="F7" s="148"/>
      <c r="G7" s="158"/>
      <c r="H7" s="16"/>
      <c r="I7" s="62"/>
      <c r="J7" s="213"/>
      <c r="K7" s="196"/>
      <c r="L7" s="45" t="s">
        <v>97</v>
      </c>
      <c r="M7" s="46" t="s">
        <v>84</v>
      </c>
      <c r="N7" s="233">
        <v>-8</v>
      </c>
      <c r="O7" s="211" t="s">
        <v>66</v>
      </c>
      <c r="P7" s="211">
        <v>20</v>
      </c>
    </row>
    <row r="8" spans="1:17" ht="16.5">
      <c r="A8" s="65">
        <v>45936</v>
      </c>
      <c r="B8" s="91"/>
      <c r="C8" s="93"/>
      <c r="D8" s="140"/>
      <c r="E8" s="157"/>
      <c r="F8" s="148"/>
      <c r="G8" s="158"/>
      <c r="H8" s="16"/>
      <c r="I8" s="62"/>
      <c r="J8" s="215"/>
      <c r="K8" s="196"/>
      <c r="L8" s="73" t="s">
        <v>106</v>
      </c>
      <c r="M8" s="48" t="s">
        <v>107</v>
      </c>
      <c r="O8" s="211" t="s">
        <v>96</v>
      </c>
      <c r="P8" s="211">
        <v>30</v>
      </c>
    </row>
    <row r="9" spans="1:17" ht="16.5">
      <c r="A9" s="65">
        <v>45937</v>
      </c>
      <c r="B9" s="91"/>
      <c r="C9" s="93"/>
      <c r="D9" s="140"/>
      <c r="E9" s="157"/>
      <c r="F9" s="148"/>
      <c r="G9" s="158"/>
      <c r="H9" s="16"/>
      <c r="I9" s="62"/>
      <c r="J9" s="202"/>
      <c r="K9" s="196"/>
      <c r="L9" s="46" t="s">
        <v>108</v>
      </c>
      <c r="M9" s="46" t="s">
        <v>109</v>
      </c>
      <c r="O9" s="212" t="s">
        <v>67</v>
      </c>
      <c r="P9" s="212">
        <v>20</v>
      </c>
    </row>
    <row r="10" spans="1:17" ht="16.5">
      <c r="A10" s="65">
        <v>45938</v>
      </c>
      <c r="B10" s="91"/>
      <c r="C10" s="93"/>
      <c r="D10" s="140"/>
      <c r="E10" s="157"/>
      <c r="F10" s="148"/>
      <c r="G10" s="158"/>
      <c r="H10" s="237"/>
      <c r="I10" s="62"/>
      <c r="J10" s="202"/>
      <c r="K10" s="196"/>
      <c r="L10" s="222" t="s">
        <v>110</v>
      </c>
      <c r="M10" s="223" t="s">
        <v>111</v>
      </c>
      <c r="O10" s="212" t="s">
        <v>68</v>
      </c>
      <c r="P10" s="212">
        <v>10</v>
      </c>
    </row>
    <row r="11" spans="1:17" ht="16.5">
      <c r="A11" s="65">
        <v>45939</v>
      </c>
      <c r="B11" s="91"/>
      <c r="C11" s="93"/>
      <c r="D11" s="157"/>
      <c r="F11" s="148"/>
      <c r="G11" s="158"/>
      <c r="H11" s="237"/>
      <c r="I11" s="62"/>
      <c r="J11" s="202"/>
      <c r="K11" s="201"/>
      <c r="L11" s="233" t="s">
        <v>112</v>
      </c>
      <c r="M11" s="59" t="s">
        <v>113</v>
      </c>
      <c r="O11" s="212" t="s">
        <v>22</v>
      </c>
      <c r="P11" s="212">
        <v>15</v>
      </c>
    </row>
    <row r="12" spans="1:17" ht="16.5">
      <c r="A12" s="65">
        <v>45940</v>
      </c>
      <c r="B12" s="91"/>
      <c r="C12" s="93"/>
      <c r="D12" s="140"/>
      <c r="E12" s="164"/>
      <c r="F12" s="148"/>
      <c r="G12" s="158"/>
      <c r="H12" s="237"/>
      <c r="I12" s="62"/>
      <c r="J12" s="196"/>
      <c r="K12" s="196"/>
      <c r="L12" s="73" t="s">
        <v>114</v>
      </c>
      <c r="M12" s="48" t="s">
        <v>115</v>
      </c>
      <c r="O12" s="214"/>
      <c r="P12" s="214"/>
    </row>
    <row r="13" spans="1:17" ht="16.5">
      <c r="A13" s="65">
        <v>45941</v>
      </c>
      <c r="B13" s="224"/>
      <c r="C13" s="225"/>
      <c r="D13" s="226"/>
      <c r="E13" s="227"/>
      <c r="F13" s="228"/>
      <c r="G13" s="229"/>
      <c r="H13" s="230"/>
      <c r="I13" s="228"/>
      <c r="J13" s="195"/>
      <c r="K13" s="196"/>
      <c r="L13" s="233" t="s">
        <v>86</v>
      </c>
      <c r="O13" s="214" t="s">
        <v>98</v>
      </c>
      <c r="P13" s="214">
        <v>15</v>
      </c>
    </row>
    <row r="14" spans="1:17" ht="18" customHeight="1">
      <c r="A14" s="65">
        <v>45942</v>
      </c>
      <c r="B14" s="91"/>
      <c r="C14" s="93"/>
      <c r="D14" s="140"/>
      <c r="E14" s="159"/>
      <c r="F14" s="160"/>
      <c r="G14" s="161"/>
      <c r="H14" s="237"/>
      <c r="I14" s="62"/>
      <c r="J14" s="204"/>
      <c r="K14" s="196"/>
      <c r="L14" s="49" t="s">
        <v>87</v>
      </c>
      <c r="M14" s="49" t="s">
        <v>3</v>
      </c>
      <c r="N14" s="233">
        <v>-3</v>
      </c>
      <c r="O14" s="236" t="s">
        <v>69</v>
      </c>
      <c r="P14" s="236">
        <f>SUM(P6:P13)/60</f>
        <v>2</v>
      </c>
    </row>
    <row r="15" spans="1:17" ht="16.5">
      <c r="A15" s="65">
        <v>45943</v>
      </c>
      <c r="B15" s="91"/>
      <c r="C15" s="93"/>
      <c r="D15" s="140"/>
      <c r="E15" s="147"/>
      <c r="F15" s="148"/>
      <c r="G15" s="149"/>
      <c r="H15" s="237"/>
      <c r="I15" s="62"/>
      <c r="J15" s="204"/>
      <c r="K15" s="196"/>
      <c r="L15" s="49" t="s">
        <v>44</v>
      </c>
      <c r="M15" s="49" t="s">
        <v>88</v>
      </c>
    </row>
    <row r="16" spans="1:17" ht="16.5">
      <c r="A16" s="65">
        <v>45944</v>
      </c>
      <c r="B16" s="91"/>
      <c r="C16" s="93"/>
      <c r="D16" s="141"/>
      <c r="E16" s="147"/>
      <c r="F16" s="148"/>
      <c r="G16" s="149"/>
      <c r="H16" s="237"/>
      <c r="I16" s="62"/>
      <c r="J16" s="204"/>
      <c r="K16" s="196"/>
      <c r="L16" s="49" t="s">
        <v>42</v>
      </c>
      <c r="M16" s="49" t="s">
        <v>51</v>
      </c>
    </row>
    <row r="17" spans="1:14" ht="16.5">
      <c r="A17" s="65">
        <v>45945</v>
      </c>
      <c r="B17" s="91"/>
      <c r="C17" s="93"/>
      <c r="D17" s="142"/>
      <c r="E17" s="147"/>
      <c r="F17" s="148"/>
      <c r="G17" s="149"/>
      <c r="J17" s="202"/>
      <c r="K17" s="196"/>
    </row>
    <row r="18" spans="1:14" ht="16.5">
      <c r="A18" s="65">
        <v>45946</v>
      </c>
      <c r="B18" s="91"/>
      <c r="C18" s="93"/>
      <c r="D18" s="140"/>
      <c r="E18" s="147"/>
      <c r="F18" s="148"/>
      <c r="G18" s="149"/>
      <c r="H18" s="237"/>
      <c r="I18" s="187"/>
      <c r="J18" s="204"/>
      <c r="K18" s="196"/>
      <c r="L18" s="72"/>
    </row>
    <row r="19" spans="1:14" ht="16.5">
      <c r="A19" s="65">
        <v>45947</v>
      </c>
      <c r="B19" s="91"/>
      <c r="C19" s="93"/>
      <c r="D19" s="140"/>
      <c r="E19" s="147"/>
      <c r="F19" s="148"/>
      <c r="G19" s="149"/>
      <c r="H19" s="237"/>
      <c r="I19" s="187"/>
      <c r="J19" s="231"/>
      <c r="K19" s="232"/>
      <c r="L19" s="235"/>
      <c r="M19" s="235"/>
      <c r="N19" s="235"/>
    </row>
    <row r="20" spans="1:14" ht="16.5">
      <c r="A20" s="65">
        <v>45948</v>
      </c>
      <c r="B20" s="91"/>
      <c r="C20" s="93"/>
      <c r="D20" s="143"/>
      <c r="E20" s="147"/>
      <c r="F20" s="148"/>
      <c r="G20" s="149"/>
      <c r="H20" s="237"/>
      <c r="I20" s="62"/>
      <c r="J20" s="204"/>
      <c r="K20" s="202"/>
      <c r="L20" s="391"/>
      <c r="M20" s="343"/>
      <c r="N20" s="235"/>
    </row>
    <row r="21" spans="1:14" ht="16.5">
      <c r="A21" s="65">
        <v>45949</v>
      </c>
      <c r="B21" s="91"/>
      <c r="C21" s="93"/>
      <c r="D21" s="140"/>
      <c r="E21" s="147"/>
      <c r="F21" s="148"/>
      <c r="G21" s="149"/>
      <c r="H21" s="237"/>
      <c r="I21" s="62"/>
      <c r="J21" s="205"/>
      <c r="K21" s="198"/>
      <c r="L21" s="235"/>
      <c r="M21" s="234"/>
      <c r="N21" s="234"/>
    </row>
    <row r="22" spans="1:14" ht="16.5">
      <c r="A22" s="65">
        <v>45950</v>
      </c>
      <c r="B22" s="91"/>
      <c r="C22" s="93"/>
      <c r="D22" s="140"/>
      <c r="E22" s="147"/>
      <c r="F22" s="148"/>
      <c r="G22" s="149"/>
      <c r="H22" s="237"/>
      <c r="I22" s="62"/>
      <c r="J22" s="205"/>
      <c r="K22" s="201"/>
      <c r="L22" s="234"/>
      <c r="M22" s="234"/>
      <c r="N22" s="234"/>
    </row>
    <row r="23" spans="1:14" ht="16.5">
      <c r="A23" s="65">
        <v>45951</v>
      </c>
      <c r="B23" s="91"/>
      <c r="C23" s="93"/>
      <c r="D23" s="140"/>
      <c r="E23" s="147"/>
      <c r="F23" s="148"/>
      <c r="G23" s="149"/>
      <c r="H23" s="237"/>
      <c r="I23" s="62"/>
      <c r="J23" s="203"/>
      <c r="K23" s="198"/>
      <c r="L23" s="234"/>
      <c r="M23" s="234"/>
      <c r="N23" s="234"/>
    </row>
    <row r="24" spans="1:14" ht="16.5">
      <c r="A24" s="65">
        <v>45952</v>
      </c>
      <c r="B24" s="91"/>
      <c r="C24" s="93"/>
      <c r="D24" s="140"/>
      <c r="E24" s="147"/>
      <c r="F24" s="148"/>
      <c r="G24" s="149"/>
      <c r="H24" s="237"/>
      <c r="I24" s="62"/>
      <c r="J24" s="203"/>
      <c r="K24" s="198"/>
      <c r="L24" s="234"/>
      <c r="N24" s="234"/>
    </row>
    <row r="25" spans="1:14" ht="16.5">
      <c r="A25" s="65">
        <v>45953</v>
      </c>
      <c r="B25" s="91"/>
      <c r="C25" s="93"/>
      <c r="D25" s="140"/>
      <c r="E25" s="147"/>
      <c r="F25" s="148"/>
      <c r="G25" s="149"/>
      <c r="I25" s="62"/>
      <c r="J25" s="174" t="s">
        <v>93</v>
      </c>
      <c r="K25" s="175">
        <f>SUM(K4:K24)</f>
        <v>0</v>
      </c>
    </row>
    <row r="26" spans="1:14" ht="16.5">
      <c r="A26" s="65">
        <v>45954</v>
      </c>
      <c r="B26" s="91"/>
      <c r="C26" s="93"/>
      <c r="D26" s="140"/>
      <c r="E26" s="147"/>
      <c r="F26" s="148"/>
      <c r="G26" s="149"/>
      <c r="H26" s="237"/>
      <c r="I26" s="62"/>
      <c r="J26" s="19"/>
      <c r="K26" s="12"/>
    </row>
    <row r="27" spans="1:14" ht="16.5">
      <c r="A27" s="65">
        <v>45955</v>
      </c>
      <c r="B27" s="91"/>
      <c r="C27" s="93"/>
      <c r="D27" s="144"/>
      <c r="E27" s="147"/>
      <c r="F27" s="148"/>
      <c r="G27" s="149"/>
      <c r="H27" s="237"/>
      <c r="I27" s="62"/>
      <c r="J27" s="237" t="s">
        <v>52</v>
      </c>
    </row>
    <row r="28" spans="1:14" ht="15.75" customHeight="1">
      <c r="A28" s="65">
        <v>45956</v>
      </c>
      <c r="B28" s="91"/>
      <c r="C28" s="93"/>
      <c r="D28" s="145"/>
      <c r="E28" s="147"/>
      <c r="F28" s="148"/>
      <c r="G28" s="149"/>
      <c r="H28" s="237"/>
      <c r="I28" s="62"/>
      <c r="J28" s="392" t="s">
        <v>101</v>
      </c>
      <c r="K28" s="390"/>
      <c r="L28" s="390"/>
      <c r="M28" s="390"/>
      <c r="N28" s="390"/>
    </row>
    <row r="29" spans="1:14" ht="22.5" customHeight="1">
      <c r="A29" s="65">
        <v>45957</v>
      </c>
      <c r="B29" s="91"/>
      <c r="C29" s="93"/>
      <c r="D29" s="140"/>
      <c r="E29" s="147"/>
      <c r="F29" s="148"/>
      <c r="G29" s="149"/>
      <c r="H29" s="237"/>
      <c r="I29" s="62"/>
      <c r="J29" s="390"/>
      <c r="K29" s="390"/>
      <c r="L29" s="390"/>
      <c r="M29" s="390"/>
      <c r="N29" s="390"/>
    </row>
    <row r="30" spans="1:14" ht="21.75" customHeight="1">
      <c r="A30" s="65">
        <v>45958</v>
      </c>
      <c r="B30" s="91"/>
      <c r="C30" s="93"/>
      <c r="D30" s="140"/>
      <c r="E30" s="147"/>
      <c r="F30" s="148"/>
      <c r="G30" s="149"/>
      <c r="H30" s="237"/>
      <c r="I30" s="62"/>
      <c r="J30" s="233" t="s">
        <v>56</v>
      </c>
    </row>
    <row r="31" spans="1:14" ht="16.5">
      <c r="A31" s="65">
        <v>45959</v>
      </c>
      <c r="B31" s="91"/>
      <c r="C31" s="93"/>
      <c r="D31" s="140"/>
      <c r="E31" s="147"/>
      <c r="F31" s="148"/>
      <c r="G31" s="149"/>
      <c r="H31" s="237"/>
      <c r="I31" s="62"/>
    </row>
    <row r="32" spans="1:14" ht="16.5">
      <c r="A32" s="65">
        <v>45960</v>
      </c>
      <c r="B32" s="91"/>
      <c r="C32" s="93"/>
      <c r="D32" s="140"/>
      <c r="E32" s="147"/>
      <c r="F32" s="148"/>
      <c r="G32" s="149"/>
      <c r="H32" s="237"/>
      <c r="I32" s="62"/>
    </row>
    <row r="33" spans="1:14" ht="16.5">
      <c r="A33" s="65">
        <v>45961</v>
      </c>
      <c r="B33" s="91"/>
      <c r="C33" s="94"/>
      <c r="D33" s="146"/>
      <c r="E33" s="150"/>
      <c r="F33" s="151">
        <v>9</v>
      </c>
      <c r="G33" s="152"/>
      <c r="H33" s="237"/>
      <c r="I33" s="62" t="s">
        <v>105</v>
      </c>
      <c r="J33" s="237"/>
      <c r="N33" s="237"/>
    </row>
    <row r="34" spans="1:14" ht="16.5">
      <c r="A34" s="65"/>
      <c r="B34" s="237"/>
      <c r="C34" s="237"/>
      <c r="D34" s="237"/>
      <c r="E34" s="237"/>
      <c r="F34" s="34"/>
      <c r="G34" s="34"/>
      <c r="H34" s="237"/>
      <c r="I34" s="237"/>
    </row>
    <row r="35" spans="1:14">
      <c r="A35" s="233" t="s">
        <v>17</v>
      </c>
      <c r="B35" s="233">
        <v>3</v>
      </c>
    </row>
    <row r="55" spans="5:5">
      <c r="E55" s="15"/>
    </row>
    <row r="56" spans="5:5">
      <c r="E56" s="15"/>
    </row>
    <row r="58" spans="5:5">
      <c r="E58" s="15"/>
    </row>
  </sheetData>
  <mergeCells count="2">
    <mergeCell ref="L20:M20"/>
    <mergeCell ref="J28:N29"/>
  </mergeCells>
  <conditionalFormatting sqref="B3:B4 B6:B33">
    <cfRule type="cellIs" dxfId="26" priority="2" operator="lessThan">
      <formula>$B$35</formula>
    </cfRule>
    <cfRule type="cellIs" dxfId="25" priority="3" operator="between">
      <formula>$B$35</formula>
      <formula>3</formula>
    </cfRule>
    <cfRule type="cellIs" dxfId="24" priority="4" operator="greaterThan">
      <formula>$B$35</formula>
    </cfRule>
  </conditionalFormatting>
  <conditionalFormatting sqref="A3:A34">
    <cfRule type="expression" dxfId="23" priority="1">
      <formula>WEEKDAY(A3,2)&gt;5</formula>
    </cfRule>
  </conditionalFormatting>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zoomScaleNormal="100" workbookViewId="0">
      <pane ySplit="1" topLeftCell="A2" activePane="bottomLeft" state="frozen"/>
      <selection pane="bottomLeft" activeCell="L5" sqref="L5:M24"/>
    </sheetView>
  </sheetViews>
  <sheetFormatPr defaultColWidth="9.140625" defaultRowHeight="15"/>
  <cols>
    <col min="1" max="1" width="8.85546875" style="243" customWidth="1"/>
    <col min="2" max="2" width="6.28515625" style="243" customWidth="1"/>
    <col min="3" max="3" width="8.42578125" style="243" customWidth="1"/>
    <col min="4" max="4" width="6.42578125" style="243" customWidth="1"/>
    <col min="5" max="5" width="6.28515625" style="243" customWidth="1"/>
    <col min="6" max="7" width="9.140625" style="243" customWidth="1"/>
    <col min="8" max="10" width="6.42578125" style="243" customWidth="1"/>
    <col min="11" max="11" width="67.42578125" style="243" customWidth="1"/>
    <col min="12" max="12" width="50.85546875" style="243" customWidth="1"/>
    <col min="13" max="13" width="15.5703125" style="243" customWidth="1"/>
    <col min="14" max="14" width="19.85546875" style="243" bestFit="1" customWidth="1"/>
    <col min="15" max="15" width="12.42578125" style="243" customWidth="1"/>
    <col min="16" max="16" width="5.140625" style="243" customWidth="1"/>
    <col min="17" max="16384" width="9.140625" style="243"/>
  </cols>
  <sheetData>
    <row r="1" spans="1:19" ht="58.5" customHeight="1" thickBot="1">
      <c r="A1" s="5" t="s">
        <v>12</v>
      </c>
      <c r="B1" s="6" t="s">
        <v>0</v>
      </c>
      <c r="C1" s="81" t="s">
        <v>58</v>
      </c>
      <c r="D1" s="81" t="s">
        <v>61</v>
      </c>
      <c r="E1" s="82" t="s">
        <v>53</v>
      </c>
      <c r="F1" s="33" t="s">
        <v>70</v>
      </c>
      <c r="G1" s="33" t="s">
        <v>1</v>
      </c>
      <c r="H1" s="32" t="s">
        <v>89</v>
      </c>
      <c r="I1" s="32" t="s">
        <v>126</v>
      </c>
      <c r="J1" s="32" t="s">
        <v>127</v>
      </c>
      <c r="K1" s="55" t="s">
        <v>91</v>
      </c>
      <c r="L1" s="20" t="s">
        <v>2</v>
      </c>
      <c r="M1" s="37"/>
      <c r="N1" s="38" t="s">
        <v>34</v>
      </c>
      <c r="O1" s="39">
        <f>SUM(B3:B33)</f>
        <v>0</v>
      </c>
      <c r="P1" s="243" t="s">
        <v>95</v>
      </c>
      <c r="S1" s="243" t="s">
        <v>103</v>
      </c>
    </row>
    <row r="2" spans="1:19" ht="18" thickTop="1" thickBot="1">
      <c r="B2" s="246"/>
      <c r="C2" s="92">
        <f>SUM(C3:C33)</f>
        <v>0</v>
      </c>
      <c r="D2" s="92">
        <f>SUM(D3:D33)</f>
        <v>0</v>
      </c>
      <c r="E2" s="16">
        <f>SUM(E3:E33)</f>
        <v>0</v>
      </c>
      <c r="F2" s="246">
        <f>SUM(F3:F34)</f>
        <v>0</v>
      </c>
      <c r="G2" s="246">
        <f>SUM(G3:G33)</f>
        <v>6</v>
      </c>
      <c r="H2" s="16">
        <f>SUM(H4:H33)</f>
        <v>0</v>
      </c>
      <c r="I2" s="16">
        <f>SUM(I3:I32)</f>
        <v>0</v>
      </c>
      <c r="J2" s="16">
        <f>SUM(J3:J32)</f>
        <v>0</v>
      </c>
      <c r="K2" s="186">
        <f>SUM(E2:G2)</f>
        <v>6</v>
      </c>
      <c r="L2" s="246"/>
      <c r="M2" s="243" t="s">
        <v>13</v>
      </c>
      <c r="N2" s="40" t="s">
        <v>35</v>
      </c>
      <c r="O2" s="40">
        <f>SUM(O3:O4)</f>
        <v>6</v>
      </c>
      <c r="P2" s="243">
        <f>SUM(P3:P31)</f>
        <v>-9.5</v>
      </c>
    </row>
    <row r="3" spans="1:19" ht="17.25" thickTop="1">
      <c r="A3" s="65">
        <v>45962</v>
      </c>
      <c r="B3" s="91"/>
      <c r="C3" s="93"/>
      <c r="D3" s="153"/>
      <c r="E3" s="154"/>
      <c r="F3" s="162"/>
      <c r="G3" s="156"/>
      <c r="K3" s="62"/>
      <c r="L3" s="21" t="s">
        <v>41</v>
      </c>
      <c r="M3" s="56" t="s">
        <v>43</v>
      </c>
      <c r="N3" s="41" t="s">
        <v>15</v>
      </c>
      <c r="O3" s="41">
        <f>SUM(C3:E33)</f>
        <v>0</v>
      </c>
      <c r="P3" s="243">
        <v>-0.5</v>
      </c>
    </row>
    <row r="4" spans="1:19" ht="19.5" customHeight="1">
      <c r="A4" s="65">
        <v>45963</v>
      </c>
      <c r="B4" s="91"/>
      <c r="C4" s="93"/>
      <c r="D4" s="153"/>
      <c r="E4" s="157"/>
      <c r="F4" s="148"/>
      <c r="G4" s="158"/>
      <c r="H4" s="16"/>
      <c r="I4" s="16"/>
      <c r="J4" s="16"/>
      <c r="K4" s="62"/>
      <c r="L4" s="195"/>
      <c r="M4" s="196"/>
      <c r="N4" s="41" t="s">
        <v>90</v>
      </c>
      <c r="O4" s="41">
        <f>SUM(F3:H34)</f>
        <v>6</v>
      </c>
    </row>
    <row r="5" spans="1:19" ht="16.5">
      <c r="A5" s="65">
        <v>45964</v>
      </c>
      <c r="C5" s="93"/>
      <c r="D5" s="153"/>
      <c r="E5" s="157"/>
      <c r="F5" s="155"/>
      <c r="G5" s="163"/>
      <c r="H5" s="16"/>
      <c r="I5" s="16"/>
      <c r="J5" s="16"/>
      <c r="K5" s="62"/>
      <c r="L5" s="247"/>
      <c r="M5" s="198"/>
      <c r="P5" s="59"/>
    </row>
    <row r="6" spans="1:19" ht="16.5">
      <c r="A6" s="65">
        <v>45965</v>
      </c>
      <c r="B6" s="91"/>
      <c r="C6" s="93"/>
      <c r="D6" s="154"/>
      <c r="E6" s="157"/>
      <c r="F6" s="148"/>
      <c r="G6" s="158"/>
      <c r="H6" s="16"/>
      <c r="I6" s="16"/>
      <c r="J6" s="16"/>
      <c r="K6" s="62"/>
      <c r="L6" s="204"/>
      <c r="M6" s="196"/>
      <c r="N6" s="18" t="s">
        <v>19</v>
      </c>
      <c r="O6" s="18" t="s">
        <v>21</v>
      </c>
      <c r="P6" s="243">
        <v>-6</v>
      </c>
      <c r="Q6" s="211" t="s">
        <v>65</v>
      </c>
      <c r="R6" s="211">
        <v>10</v>
      </c>
    </row>
    <row r="7" spans="1:19" ht="16.5">
      <c r="A7" s="65">
        <v>45966</v>
      </c>
      <c r="B7" s="91"/>
      <c r="C7" s="93"/>
      <c r="D7" s="140"/>
      <c r="E7" s="157"/>
      <c r="F7" s="148"/>
      <c r="G7" s="158"/>
      <c r="H7" s="16"/>
      <c r="I7" s="16"/>
      <c r="J7" s="16"/>
      <c r="K7" s="62"/>
      <c r="L7" s="213"/>
      <c r="M7" s="196"/>
      <c r="N7" s="45" t="s">
        <v>97</v>
      </c>
      <c r="O7" s="46" t="s">
        <v>84</v>
      </c>
      <c r="P7" s="243">
        <v>-8</v>
      </c>
      <c r="Q7" s="211" t="s">
        <v>66</v>
      </c>
      <c r="R7" s="211">
        <v>20</v>
      </c>
    </row>
    <row r="8" spans="1:19" ht="16.5">
      <c r="A8" s="65">
        <v>45967</v>
      </c>
      <c r="B8" s="91"/>
      <c r="C8" s="93"/>
      <c r="D8" s="140"/>
      <c r="E8" s="157"/>
      <c r="F8" s="148"/>
      <c r="G8" s="158"/>
      <c r="H8" s="16"/>
      <c r="I8" s="16"/>
      <c r="J8" s="16"/>
      <c r="K8" s="62"/>
      <c r="L8" s="215"/>
      <c r="M8" s="196"/>
      <c r="N8" s="73" t="s">
        <v>106</v>
      </c>
      <c r="O8" s="48" t="s">
        <v>107</v>
      </c>
      <c r="Q8" s="211" t="s">
        <v>96</v>
      </c>
      <c r="R8" s="211">
        <v>30</v>
      </c>
    </row>
    <row r="9" spans="1:19" ht="16.5">
      <c r="A9" s="65">
        <v>45968</v>
      </c>
      <c r="B9" s="91"/>
      <c r="C9" s="93"/>
      <c r="D9" s="140"/>
      <c r="E9" s="157"/>
      <c r="F9" s="148"/>
      <c r="G9" s="158"/>
      <c r="H9" s="16"/>
      <c r="I9" s="16"/>
      <c r="J9" s="16"/>
      <c r="K9" s="62"/>
      <c r="L9" s="202"/>
      <c r="M9" s="196"/>
      <c r="N9" s="46" t="s">
        <v>108</v>
      </c>
      <c r="O9" s="46" t="s">
        <v>124</v>
      </c>
      <c r="Q9" s="212" t="s">
        <v>67</v>
      </c>
      <c r="R9" s="212">
        <v>20</v>
      </c>
    </row>
    <row r="10" spans="1:19" ht="16.5">
      <c r="A10" s="65">
        <v>45969</v>
      </c>
      <c r="B10" s="91"/>
      <c r="C10" s="93"/>
      <c r="D10" s="140"/>
      <c r="E10" s="157"/>
      <c r="F10" s="148"/>
      <c r="G10" s="158"/>
      <c r="H10" s="246"/>
      <c r="I10" s="246"/>
      <c r="J10" s="246"/>
      <c r="K10" s="62"/>
      <c r="L10" s="202"/>
      <c r="M10" s="196"/>
      <c r="N10" s="222" t="s">
        <v>110</v>
      </c>
      <c r="O10" s="223" t="s">
        <v>111</v>
      </c>
      <c r="Q10" s="212" t="s">
        <v>68</v>
      </c>
      <c r="R10" s="212">
        <v>10</v>
      </c>
    </row>
    <row r="11" spans="1:19" ht="16.5">
      <c r="A11" s="65">
        <v>45970</v>
      </c>
      <c r="B11" s="91"/>
      <c r="C11" s="93"/>
      <c r="D11" s="157"/>
      <c r="F11" s="148"/>
      <c r="G11" s="158"/>
      <c r="H11" s="246"/>
      <c r="J11" s="246"/>
      <c r="K11" s="62"/>
      <c r="L11" s="202"/>
      <c r="M11" s="201"/>
      <c r="N11" s="243" t="s">
        <v>112</v>
      </c>
      <c r="O11" s="59" t="s">
        <v>113</v>
      </c>
      <c r="Q11" s="212" t="s">
        <v>22</v>
      </c>
      <c r="R11" s="212">
        <v>15</v>
      </c>
    </row>
    <row r="12" spans="1:19" ht="16.5">
      <c r="A12" s="65">
        <v>45971</v>
      </c>
      <c r="B12" s="91"/>
      <c r="C12" s="93"/>
      <c r="D12" s="140"/>
      <c r="E12" s="164"/>
      <c r="F12" s="148"/>
      <c r="G12" s="158"/>
      <c r="H12" s="246"/>
      <c r="I12" s="246"/>
      <c r="J12" s="246"/>
      <c r="K12" s="62"/>
      <c r="L12" s="202"/>
      <c r="M12" s="196"/>
      <c r="N12" s="73" t="s">
        <v>114</v>
      </c>
      <c r="O12" s="48" t="s">
        <v>115</v>
      </c>
      <c r="Q12" s="214"/>
      <c r="R12" s="214"/>
    </row>
    <row r="13" spans="1:19" ht="16.5">
      <c r="A13" s="65">
        <v>45972</v>
      </c>
      <c r="B13" s="224"/>
      <c r="C13" s="225"/>
      <c r="D13" s="226"/>
      <c r="E13" s="227"/>
      <c r="F13" s="228"/>
      <c r="G13" s="229"/>
      <c r="H13" s="230"/>
      <c r="I13" s="230"/>
      <c r="J13" s="230"/>
      <c r="K13" s="228"/>
      <c r="L13" s="204"/>
      <c r="M13" s="196"/>
      <c r="N13" s="243" t="s">
        <v>86</v>
      </c>
      <c r="Q13" s="214" t="s">
        <v>98</v>
      </c>
      <c r="R13" s="214">
        <v>15</v>
      </c>
    </row>
    <row r="14" spans="1:19" ht="18" customHeight="1">
      <c r="A14" s="65">
        <v>45973</v>
      </c>
      <c r="B14" s="91"/>
      <c r="C14" s="93"/>
      <c r="D14" s="140"/>
      <c r="E14" s="159"/>
      <c r="F14" s="160"/>
      <c r="G14" s="161"/>
      <c r="H14" s="246"/>
      <c r="I14" s="246"/>
      <c r="J14" s="246"/>
      <c r="K14" s="62"/>
      <c r="L14" s="204"/>
      <c r="M14" s="196"/>
      <c r="N14" s="49" t="s">
        <v>87</v>
      </c>
      <c r="O14" s="49" t="s">
        <v>3</v>
      </c>
      <c r="P14" s="243">
        <v>-3</v>
      </c>
      <c r="Q14" s="244" t="s">
        <v>69</v>
      </c>
      <c r="R14" s="244">
        <f>SUM(R6:R13)/60</f>
        <v>2</v>
      </c>
    </row>
    <row r="15" spans="1:19" ht="16.5">
      <c r="A15" s="65">
        <v>45974</v>
      </c>
      <c r="B15" s="91"/>
      <c r="C15" s="93"/>
      <c r="D15" s="140"/>
      <c r="E15" s="147"/>
      <c r="F15" s="148"/>
      <c r="G15" s="149"/>
      <c r="H15" s="246"/>
      <c r="I15" s="246"/>
      <c r="J15" s="246"/>
      <c r="K15" s="62"/>
      <c r="L15" s="204"/>
      <c r="M15" s="196"/>
      <c r="N15" s="49" t="s">
        <v>44</v>
      </c>
      <c r="O15" s="49" t="s">
        <v>88</v>
      </c>
    </row>
    <row r="16" spans="1:19" ht="16.5">
      <c r="A16" s="65">
        <v>45975</v>
      </c>
      <c r="B16" s="91"/>
      <c r="C16" s="93"/>
      <c r="D16" s="141"/>
      <c r="E16" s="147"/>
      <c r="F16" s="148"/>
      <c r="G16" s="149"/>
      <c r="H16" s="246"/>
      <c r="I16" s="246"/>
      <c r="J16" s="246"/>
      <c r="K16" s="62"/>
      <c r="L16" s="204"/>
      <c r="M16" s="196"/>
      <c r="N16" s="49" t="s">
        <v>42</v>
      </c>
      <c r="O16" s="49" t="s">
        <v>51</v>
      </c>
    </row>
    <row r="17" spans="1:16" ht="16.5">
      <c r="A17" s="65">
        <v>45976</v>
      </c>
      <c r="B17" s="91"/>
      <c r="C17" s="93"/>
      <c r="D17" s="142"/>
      <c r="E17" s="147"/>
      <c r="F17" s="148"/>
      <c r="G17" s="149"/>
      <c r="L17" s="202"/>
      <c r="M17" s="196"/>
    </row>
    <row r="18" spans="1:16" ht="16.5">
      <c r="A18" s="65">
        <v>45977</v>
      </c>
      <c r="B18" s="91"/>
      <c r="C18" s="93"/>
      <c r="D18" s="140"/>
      <c r="E18" s="147"/>
      <c r="F18" s="148"/>
      <c r="G18" s="149"/>
      <c r="H18" s="246"/>
      <c r="I18" s="246"/>
      <c r="J18" s="246"/>
      <c r="K18" s="187"/>
      <c r="L18" s="204"/>
      <c r="M18" s="196"/>
      <c r="N18" s="72"/>
    </row>
    <row r="19" spans="1:16" ht="16.5">
      <c r="A19" s="65">
        <v>45978</v>
      </c>
      <c r="B19" s="91"/>
      <c r="C19" s="93"/>
      <c r="D19" s="140"/>
      <c r="E19" s="147"/>
      <c r="F19" s="148"/>
      <c r="G19" s="149"/>
      <c r="H19" s="246"/>
      <c r="I19" s="246"/>
      <c r="J19" s="246"/>
      <c r="K19" s="187"/>
      <c r="L19" s="231"/>
      <c r="M19" s="232"/>
      <c r="N19" s="242"/>
      <c r="O19" s="242"/>
      <c r="P19" s="242"/>
    </row>
    <row r="20" spans="1:16" ht="16.5">
      <c r="A20" s="65">
        <v>45979</v>
      </c>
      <c r="B20" s="91"/>
      <c r="C20" s="93"/>
      <c r="D20" s="143"/>
      <c r="E20" s="147"/>
      <c r="F20" s="148"/>
      <c r="G20" s="149"/>
      <c r="H20" s="246"/>
      <c r="I20" s="246"/>
      <c r="J20" s="246"/>
      <c r="K20" s="62"/>
      <c r="L20" s="204"/>
      <c r="M20" s="202"/>
      <c r="N20" s="391"/>
      <c r="O20" s="343"/>
      <c r="P20" s="242"/>
    </row>
    <row r="21" spans="1:16" ht="16.5">
      <c r="A21" s="65">
        <v>45980</v>
      </c>
      <c r="B21" s="91"/>
      <c r="C21" s="93"/>
      <c r="D21" s="140"/>
      <c r="E21" s="147"/>
      <c r="F21" s="148"/>
      <c r="G21" s="149"/>
      <c r="H21" s="246"/>
      <c r="I21" s="246"/>
      <c r="J21" s="246"/>
      <c r="K21" s="62"/>
      <c r="L21" s="205"/>
      <c r="M21" s="198"/>
      <c r="N21" s="242"/>
      <c r="O21" s="245"/>
      <c r="P21" s="245"/>
    </row>
    <row r="22" spans="1:16" ht="16.5">
      <c r="A22" s="65">
        <v>45981</v>
      </c>
      <c r="B22" s="91"/>
      <c r="C22" s="93"/>
      <c r="D22" s="140"/>
      <c r="E22" s="147"/>
      <c r="F22" s="148"/>
      <c r="G22" s="149"/>
      <c r="H22" s="246"/>
      <c r="I22" s="246"/>
      <c r="J22" s="246"/>
      <c r="K22" s="62"/>
      <c r="L22" s="205"/>
      <c r="M22" s="201"/>
      <c r="N22" s="245"/>
      <c r="O22" s="245"/>
      <c r="P22" s="245"/>
    </row>
    <row r="23" spans="1:16" ht="16.5">
      <c r="A23" s="65">
        <v>45982</v>
      </c>
      <c r="B23" s="91"/>
      <c r="C23" s="93"/>
      <c r="D23" s="140"/>
      <c r="E23" s="147"/>
      <c r="F23" s="148"/>
      <c r="G23" s="149"/>
      <c r="H23" s="246"/>
      <c r="I23" s="246"/>
      <c r="J23" s="246"/>
      <c r="K23" s="62"/>
      <c r="L23" s="203"/>
      <c r="M23" s="198"/>
      <c r="N23" s="245"/>
      <c r="O23" s="245"/>
      <c r="P23" s="245"/>
    </row>
    <row r="24" spans="1:16" ht="16.5">
      <c r="A24" s="65">
        <v>45983</v>
      </c>
      <c r="B24" s="91"/>
      <c r="C24" s="93"/>
      <c r="D24" s="140"/>
      <c r="E24" s="147"/>
      <c r="F24" s="148"/>
      <c r="G24" s="149"/>
      <c r="H24" s="246"/>
      <c r="I24" s="246"/>
      <c r="J24" s="246"/>
      <c r="K24" s="62"/>
      <c r="L24" s="203"/>
      <c r="M24" s="198"/>
      <c r="N24" s="245"/>
      <c r="P24" s="245"/>
    </row>
    <row r="25" spans="1:16" ht="16.5">
      <c r="A25" s="65">
        <v>45984</v>
      </c>
      <c r="B25" s="91"/>
      <c r="C25" s="93"/>
      <c r="D25" s="140"/>
      <c r="E25" s="147"/>
      <c r="F25" s="148"/>
      <c r="G25" s="149"/>
      <c r="K25" s="62"/>
      <c r="L25" s="174" t="s">
        <v>93</v>
      </c>
      <c r="M25" s="175">
        <f>SUM(M4:M24)</f>
        <v>0</v>
      </c>
    </row>
    <row r="26" spans="1:16" ht="16.5">
      <c r="A26" s="65">
        <v>45985</v>
      </c>
      <c r="B26" s="91"/>
      <c r="C26" s="93"/>
      <c r="D26" s="140"/>
      <c r="E26" s="147"/>
      <c r="F26" s="148"/>
      <c r="G26" s="149"/>
      <c r="H26" s="246"/>
      <c r="I26" s="246"/>
      <c r="J26" s="246"/>
      <c r="K26" s="62"/>
      <c r="L26" s="19"/>
      <c r="M26" s="12"/>
    </row>
    <row r="27" spans="1:16" ht="16.5">
      <c r="A27" s="65">
        <v>45986</v>
      </c>
      <c r="B27" s="91"/>
      <c r="C27" s="93"/>
      <c r="D27" s="144"/>
      <c r="E27" s="147"/>
      <c r="F27" s="148"/>
      <c r="G27" s="149"/>
      <c r="H27" s="246"/>
      <c r="I27" s="246"/>
      <c r="J27" s="246"/>
      <c r="K27" s="62"/>
      <c r="L27" s="246"/>
      <c r="P27" s="243">
        <v>3</v>
      </c>
    </row>
    <row r="28" spans="1:16" ht="15.75" customHeight="1">
      <c r="A28" s="65">
        <v>45987</v>
      </c>
      <c r="B28" s="91"/>
      <c r="C28" s="93"/>
      <c r="D28" s="145"/>
      <c r="E28" s="147"/>
      <c r="F28" s="148"/>
      <c r="G28" s="149"/>
      <c r="H28" s="246"/>
      <c r="I28" s="246"/>
      <c r="J28" s="246"/>
      <c r="K28" s="62"/>
      <c r="L28" s="392" t="s">
        <v>122</v>
      </c>
      <c r="M28" s="390"/>
      <c r="N28" s="390"/>
      <c r="O28" s="390"/>
      <c r="P28" s="390"/>
    </row>
    <row r="29" spans="1:16" ht="22.5" customHeight="1">
      <c r="A29" s="65">
        <v>45988</v>
      </c>
      <c r="B29" s="91"/>
      <c r="C29" s="93"/>
      <c r="D29" s="140"/>
      <c r="E29" s="147"/>
      <c r="F29" s="148"/>
      <c r="G29" s="149"/>
      <c r="H29" s="246"/>
      <c r="I29" s="246"/>
      <c r="J29" s="246"/>
      <c r="K29" s="62"/>
      <c r="L29" s="390"/>
      <c r="M29" s="390"/>
      <c r="N29" s="390"/>
      <c r="O29" s="390"/>
      <c r="P29" s="390"/>
    </row>
    <row r="30" spans="1:16" ht="21.75" customHeight="1">
      <c r="A30" s="65">
        <v>45989</v>
      </c>
      <c r="B30" s="91"/>
      <c r="C30" s="93"/>
      <c r="D30" s="140"/>
      <c r="E30" s="147"/>
      <c r="F30" s="148"/>
      <c r="G30" s="149"/>
      <c r="H30" s="246"/>
      <c r="I30" s="246"/>
      <c r="J30" s="246"/>
      <c r="K30" s="62"/>
      <c r="L30" s="243" t="s">
        <v>56</v>
      </c>
      <c r="P30" s="243">
        <v>5</v>
      </c>
    </row>
    <row r="31" spans="1:16" ht="16.5">
      <c r="A31" s="65">
        <v>45990</v>
      </c>
      <c r="B31" s="91"/>
      <c r="C31" s="93"/>
      <c r="D31" s="140"/>
      <c r="E31" s="147"/>
      <c r="F31" s="148"/>
      <c r="G31" s="149"/>
      <c r="H31" s="246"/>
      <c r="I31" s="246"/>
      <c r="J31" s="246"/>
      <c r="K31" s="62"/>
    </row>
    <row r="32" spans="1:16" ht="16.5">
      <c r="A32" s="65">
        <v>45991</v>
      </c>
      <c r="B32" s="91"/>
      <c r="C32" s="93"/>
      <c r="D32" s="140"/>
      <c r="E32" s="147"/>
      <c r="F32" s="148"/>
      <c r="G32" s="149"/>
      <c r="H32" s="246"/>
      <c r="I32" s="246"/>
      <c r="J32" s="246"/>
      <c r="K32" s="62"/>
    </row>
    <row r="33" spans="1:16" ht="16.5">
      <c r="A33" s="65"/>
      <c r="B33" s="91"/>
      <c r="C33" s="94"/>
      <c r="D33" s="146"/>
      <c r="E33" s="150"/>
      <c r="F33" s="151">
        <v>0</v>
      </c>
      <c r="G33" s="152">
        <v>6</v>
      </c>
      <c r="H33" s="246"/>
      <c r="I33" s="246"/>
      <c r="J33" s="246"/>
      <c r="K33" s="62"/>
      <c r="L33" s="246"/>
      <c r="P33" s="246"/>
    </row>
    <row r="34" spans="1:16" ht="16.5">
      <c r="A34" s="65"/>
      <c r="B34" s="246"/>
      <c r="C34" s="246"/>
      <c r="D34" s="246"/>
      <c r="E34" s="246"/>
      <c r="F34" s="34"/>
      <c r="G34" s="34"/>
      <c r="H34" s="246"/>
      <c r="I34" s="246"/>
      <c r="J34" s="246"/>
      <c r="K34" s="246"/>
    </row>
    <row r="35" spans="1:16">
      <c r="A35" s="243" t="s">
        <v>17</v>
      </c>
      <c r="B35" s="243">
        <v>3</v>
      </c>
    </row>
    <row r="55" spans="5:5">
      <c r="E55" s="15"/>
    </row>
    <row r="56" spans="5:5">
      <c r="E56" s="15"/>
    </row>
    <row r="58" spans="5:5">
      <c r="E58" s="15"/>
    </row>
  </sheetData>
  <mergeCells count="2">
    <mergeCell ref="N20:O20"/>
    <mergeCell ref="L28:P29"/>
  </mergeCells>
  <conditionalFormatting sqref="B3:B4 B6:B33">
    <cfRule type="cellIs" dxfId="17" priority="2" operator="lessThan">
      <formula>$B$35</formula>
    </cfRule>
    <cfRule type="cellIs" dxfId="16" priority="3" operator="between">
      <formula>$B$35</formula>
      <formula>3</formula>
    </cfRule>
    <cfRule type="cellIs" dxfId="15" priority="4" operator="greaterThan">
      <formula>$B$35</formula>
    </cfRule>
  </conditionalFormatting>
  <conditionalFormatting sqref="A3:A34">
    <cfRule type="expression" dxfId="14" priority="1">
      <formula>WEEKDAY(A3,2)&gt;5</formula>
    </cfRule>
  </conditionalFormatting>
  <pageMargins left="0.7" right="0.7" top="0.75" bottom="0.75" header="0.3" footer="0.3"/>
  <pageSetup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zoomScaleNormal="100" workbookViewId="0">
      <pane ySplit="1" topLeftCell="A2" activePane="bottomLeft" state="frozen"/>
      <selection pane="bottomLeft" activeCell="K2" sqref="K2"/>
    </sheetView>
  </sheetViews>
  <sheetFormatPr defaultColWidth="9.140625" defaultRowHeight="15"/>
  <cols>
    <col min="1" max="1" width="8.85546875" style="76" customWidth="1"/>
    <col min="2" max="2" width="6.28515625" style="76" customWidth="1"/>
    <col min="3" max="3" width="8.42578125" style="76" customWidth="1"/>
    <col min="4" max="4" width="6.42578125" style="76" customWidth="1"/>
    <col min="5" max="5" width="6.28515625" style="76" customWidth="1"/>
    <col min="6" max="7" width="9.140625" style="76" customWidth="1"/>
    <col min="8" max="8" width="6.42578125" style="76" customWidth="1"/>
    <col min="9" max="9" width="6.42578125" style="240" customWidth="1"/>
    <col min="10" max="10" width="11.85546875" style="260" customWidth="1"/>
    <col min="11" max="11" width="67.42578125" style="76" customWidth="1"/>
    <col min="12" max="12" width="50.85546875" style="76" customWidth="1"/>
    <col min="13" max="13" width="15.5703125" style="76" customWidth="1"/>
    <col min="14" max="14" width="19.85546875" style="76" bestFit="1" customWidth="1"/>
    <col min="15" max="15" width="12.42578125" style="76" customWidth="1"/>
    <col min="16" max="16" width="5.140625" style="76" customWidth="1"/>
    <col min="17" max="16384" width="9.140625" style="76"/>
  </cols>
  <sheetData>
    <row r="1" spans="1:19" ht="58.5" customHeight="1" thickBot="1">
      <c r="A1" s="5" t="s">
        <v>12</v>
      </c>
      <c r="B1" s="6" t="s">
        <v>0</v>
      </c>
      <c r="C1" s="81" t="s">
        <v>58</v>
      </c>
      <c r="D1" s="81" t="s">
        <v>61</v>
      </c>
      <c r="E1" s="82" t="s">
        <v>53</v>
      </c>
      <c r="F1" s="33" t="s">
        <v>70</v>
      </c>
      <c r="G1" s="33" t="s">
        <v>1</v>
      </c>
      <c r="H1" s="32" t="s">
        <v>89</v>
      </c>
      <c r="I1" s="32" t="s">
        <v>127</v>
      </c>
      <c r="J1" s="32" t="s">
        <v>133</v>
      </c>
      <c r="K1" s="55"/>
      <c r="L1" s="20" t="s">
        <v>2</v>
      </c>
      <c r="M1" s="37"/>
      <c r="N1" s="38" t="s">
        <v>34</v>
      </c>
      <c r="O1" s="39">
        <f>SUM(B3:B33)</f>
        <v>3</v>
      </c>
      <c r="P1" s="382" t="s">
        <v>132</v>
      </c>
      <c r="Q1" s="383"/>
      <c r="R1" s="383"/>
      <c r="S1" s="383"/>
    </row>
    <row r="2" spans="1:19" ht="18" thickTop="1" thickBot="1">
      <c r="B2" s="258">
        <f t="shared" ref="B2:E2" si="0">SUM(B3:B33)</f>
        <v>3</v>
      </c>
      <c r="C2" s="250">
        <f t="shared" si="0"/>
        <v>0</v>
      </c>
      <c r="D2" s="250">
        <f t="shared" si="0"/>
        <v>0</v>
      </c>
      <c r="E2" s="250">
        <f t="shared" si="0"/>
        <v>0</v>
      </c>
      <c r="F2" s="221">
        <f>SUM(F3:F33)</f>
        <v>0</v>
      </c>
      <c r="G2" s="248">
        <f t="shared" ref="G2:H2" si="1">SUM(G3:G33)</f>
        <v>0</v>
      </c>
      <c r="H2" s="248">
        <f t="shared" si="1"/>
        <v>0</v>
      </c>
      <c r="I2" s="16"/>
      <c r="J2" s="16">
        <f>SUM(J3:J32)/60</f>
        <v>0</v>
      </c>
      <c r="K2" s="186">
        <f>SUM(E2:G2)</f>
        <v>0</v>
      </c>
      <c r="L2" s="80"/>
      <c r="M2" s="76" t="s">
        <v>13</v>
      </c>
      <c r="N2" s="252" t="s">
        <v>35</v>
      </c>
      <c r="O2" s="230">
        <f>SUM(O3:O4)</f>
        <v>0</v>
      </c>
      <c r="P2" s="76">
        <f>SUM(P3:P80)</f>
        <v>49</v>
      </c>
    </row>
    <row r="3" spans="1:19" ht="17.25" thickTop="1">
      <c r="A3" s="65">
        <v>45992</v>
      </c>
      <c r="B3" s="91"/>
      <c r="C3" s="93"/>
      <c r="D3" s="153"/>
      <c r="E3" s="154"/>
      <c r="F3" s="162"/>
      <c r="G3" s="156"/>
      <c r="I3" s="59"/>
      <c r="J3" s="59"/>
      <c r="K3" s="62"/>
      <c r="L3" s="21" t="s">
        <v>41</v>
      </c>
      <c r="M3" s="56" t="s">
        <v>43</v>
      </c>
      <c r="N3" s="251" t="s">
        <v>15</v>
      </c>
      <c r="O3" s="251">
        <f>SUM(C3:E33)</f>
        <v>0</v>
      </c>
      <c r="P3" s="76">
        <v>5</v>
      </c>
    </row>
    <row r="4" spans="1:19" ht="19.5" customHeight="1">
      <c r="A4" s="65">
        <v>45993</v>
      </c>
      <c r="B4" s="91"/>
      <c r="C4" s="93"/>
      <c r="D4" s="153"/>
      <c r="E4" s="157"/>
      <c r="F4" s="148"/>
      <c r="G4" s="158"/>
      <c r="H4" s="16"/>
      <c r="I4" s="16"/>
      <c r="J4" s="16"/>
      <c r="K4" s="62"/>
      <c r="L4" s="253"/>
      <c r="M4" s="196"/>
      <c r="N4" s="41" t="s">
        <v>90</v>
      </c>
      <c r="O4" s="41">
        <f>SUM(F3:H34)</f>
        <v>0</v>
      </c>
      <c r="P4" s="76">
        <v>7</v>
      </c>
    </row>
    <row r="5" spans="1:19" ht="16.5">
      <c r="A5" s="65">
        <v>45994</v>
      </c>
      <c r="C5" s="93"/>
      <c r="D5" s="153"/>
      <c r="E5" s="157"/>
      <c r="F5" s="155"/>
      <c r="G5" s="163"/>
      <c r="H5" s="16"/>
      <c r="I5" s="16"/>
      <c r="J5" s="16"/>
      <c r="K5" s="62"/>
      <c r="L5" s="263"/>
      <c r="M5" s="196"/>
      <c r="P5" s="59"/>
    </row>
    <row r="6" spans="1:19" ht="16.5">
      <c r="A6" s="65">
        <v>45995</v>
      </c>
      <c r="B6" s="91"/>
      <c r="C6" s="93"/>
      <c r="D6" s="154"/>
      <c r="E6" s="157"/>
      <c r="F6" s="148"/>
      <c r="G6" s="158"/>
      <c r="H6" s="16"/>
      <c r="I6" s="16"/>
      <c r="J6" s="16"/>
      <c r="K6" s="62"/>
      <c r="L6" s="253"/>
      <c r="M6" s="196"/>
      <c r="N6" s="18" t="s">
        <v>19</v>
      </c>
      <c r="O6" s="18" t="s">
        <v>21</v>
      </c>
    </row>
    <row r="7" spans="1:19" ht="16.5">
      <c r="A7" s="65">
        <v>45996</v>
      </c>
      <c r="B7" s="91"/>
      <c r="C7" s="93"/>
      <c r="D7" s="140"/>
      <c r="E7" s="157"/>
      <c r="F7" s="148"/>
      <c r="G7" s="158"/>
      <c r="H7" s="16"/>
      <c r="I7" s="16"/>
      <c r="J7" s="16"/>
      <c r="K7" s="62"/>
      <c r="L7" s="255"/>
      <c r="M7" s="201"/>
      <c r="N7" s="45" t="s">
        <v>97</v>
      </c>
      <c r="O7" s="46" t="s">
        <v>84</v>
      </c>
    </row>
    <row r="8" spans="1:19" ht="16.5">
      <c r="A8" s="65">
        <v>45997</v>
      </c>
      <c r="B8" s="91"/>
      <c r="C8" s="93"/>
      <c r="D8" s="140"/>
      <c r="G8" s="256"/>
      <c r="K8" s="62"/>
      <c r="L8" s="165"/>
      <c r="M8" s="196"/>
      <c r="N8" s="73" t="s">
        <v>106</v>
      </c>
      <c r="O8" s="48" t="s">
        <v>107</v>
      </c>
    </row>
    <row r="9" spans="1:19" ht="16.5">
      <c r="A9" s="65">
        <v>45998</v>
      </c>
      <c r="B9" s="91"/>
      <c r="C9" s="93"/>
      <c r="D9" s="140"/>
      <c r="E9" s="157"/>
      <c r="F9" s="148"/>
      <c r="G9" s="158"/>
      <c r="H9" s="16"/>
      <c r="I9" s="16"/>
      <c r="J9" s="16"/>
      <c r="K9" s="62"/>
      <c r="L9" s="255"/>
      <c r="M9" s="196"/>
      <c r="N9" s="46" t="s">
        <v>108</v>
      </c>
      <c r="O9" s="46" t="s">
        <v>128</v>
      </c>
    </row>
    <row r="10" spans="1:19" ht="16.5">
      <c r="A10" s="65">
        <v>45999</v>
      </c>
      <c r="B10" s="91"/>
      <c r="C10" s="93"/>
      <c r="D10" s="140"/>
      <c r="E10" s="16"/>
      <c r="F10" s="148"/>
      <c r="G10" s="158"/>
      <c r="I10" s="16"/>
      <c r="J10" s="16"/>
      <c r="K10" s="62"/>
      <c r="L10" s="255"/>
      <c r="M10" s="196"/>
      <c r="N10" s="222" t="s">
        <v>110</v>
      </c>
      <c r="O10" s="223" t="s">
        <v>148</v>
      </c>
      <c r="P10" s="76">
        <v>2</v>
      </c>
    </row>
    <row r="11" spans="1:19" ht="16.5">
      <c r="A11" s="65">
        <v>46000</v>
      </c>
      <c r="B11" s="91"/>
      <c r="C11" s="93"/>
      <c r="D11" s="157"/>
      <c r="F11" s="148"/>
      <c r="G11" s="158"/>
      <c r="H11" s="80"/>
      <c r="I11" s="239"/>
      <c r="J11" s="261"/>
      <c r="K11" s="62"/>
      <c r="L11" s="255"/>
      <c r="M11" s="201"/>
      <c r="N11" s="76" t="s">
        <v>112</v>
      </c>
      <c r="O11" s="59" t="s">
        <v>98</v>
      </c>
      <c r="P11" s="76">
        <v>-2</v>
      </c>
    </row>
    <row r="12" spans="1:19" ht="16.5">
      <c r="A12" s="65">
        <v>46001</v>
      </c>
      <c r="B12" s="91"/>
      <c r="C12" s="93"/>
      <c r="D12" s="140"/>
      <c r="E12" s="164"/>
      <c r="F12" s="148"/>
      <c r="G12" s="158"/>
      <c r="H12" s="80"/>
      <c r="I12" s="241"/>
      <c r="J12" s="261"/>
      <c r="K12" s="62"/>
      <c r="L12" s="255"/>
      <c r="M12" s="196"/>
      <c r="N12" s="73" t="s">
        <v>129</v>
      </c>
      <c r="O12" s="48" t="s">
        <v>115</v>
      </c>
      <c r="P12" s="76">
        <v>1.5</v>
      </c>
    </row>
    <row r="13" spans="1:19" ht="16.5">
      <c r="A13" s="65">
        <v>46002</v>
      </c>
      <c r="B13" s="224"/>
      <c r="C13" s="16"/>
      <c r="D13" s="16"/>
      <c r="E13" s="16"/>
      <c r="F13" s="16"/>
      <c r="G13" s="16"/>
      <c r="H13" s="16"/>
      <c r="I13" s="16"/>
      <c r="J13" s="16"/>
      <c r="K13" s="16"/>
      <c r="L13" s="165"/>
      <c r="M13" s="196"/>
      <c r="N13" s="76" t="s">
        <v>130</v>
      </c>
    </row>
    <row r="14" spans="1:19" ht="18" customHeight="1">
      <c r="A14" s="65">
        <v>46003</v>
      </c>
      <c r="B14" s="91"/>
      <c r="C14" s="93"/>
      <c r="D14" s="140"/>
      <c r="E14" s="159"/>
      <c r="F14" s="160"/>
      <c r="G14" s="161"/>
      <c r="H14" s="80"/>
      <c r="I14" s="241"/>
      <c r="J14" s="261"/>
      <c r="K14" s="62"/>
      <c r="L14" s="165"/>
      <c r="M14" s="196"/>
      <c r="N14" s="49" t="s">
        <v>87</v>
      </c>
      <c r="O14" s="49" t="s">
        <v>3</v>
      </c>
    </row>
    <row r="15" spans="1:19" ht="16.5">
      <c r="A15" s="65">
        <v>46004</v>
      </c>
      <c r="B15" s="91"/>
      <c r="C15" s="93"/>
      <c r="D15" s="140"/>
      <c r="E15" s="147"/>
      <c r="F15" s="148"/>
      <c r="G15" s="149"/>
      <c r="H15" s="80"/>
      <c r="I15" s="241"/>
      <c r="J15" s="261"/>
      <c r="K15" s="62"/>
      <c r="L15" s="165"/>
      <c r="M15" s="201"/>
      <c r="N15" s="49" t="s">
        <v>44</v>
      </c>
      <c r="O15" s="49" t="s">
        <v>88</v>
      </c>
    </row>
    <row r="16" spans="1:19" ht="16.5">
      <c r="A16" s="65">
        <v>46005</v>
      </c>
      <c r="B16" s="91"/>
      <c r="C16" s="93"/>
      <c r="D16" s="141"/>
      <c r="E16" s="147"/>
      <c r="F16" s="148"/>
      <c r="G16" s="149"/>
      <c r="H16" s="80"/>
      <c r="I16" s="241"/>
      <c r="J16" s="261"/>
      <c r="K16" s="62"/>
      <c r="L16" s="165"/>
      <c r="M16" s="196"/>
      <c r="N16" s="49" t="s">
        <v>42</v>
      </c>
      <c r="O16" s="49" t="s">
        <v>51</v>
      </c>
    </row>
    <row r="17" spans="1:16" ht="16.5">
      <c r="A17" s="65">
        <v>46006</v>
      </c>
      <c r="B17" s="91"/>
      <c r="C17" s="93"/>
      <c r="D17" s="142"/>
      <c r="E17" s="147"/>
      <c r="F17" s="148"/>
      <c r="G17" s="149"/>
      <c r="J17" s="59"/>
      <c r="K17" s="62"/>
      <c r="L17" s="255"/>
      <c r="M17" s="196"/>
    </row>
    <row r="18" spans="1:16" ht="16.5">
      <c r="A18" s="65">
        <v>46007</v>
      </c>
      <c r="B18" s="91"/>
      <c r="C18" s="93"/>
      <c r="D18" s="140"/>
      <c r="E18" s="147"/>
      <c r="F18" s="148"/>
      <c r="G18" s="149"/>
      <c r="H18" s="80"/>
      <c r="I18" s="241"/>
      <c r="J18" s="261"/>
      <c r="K18" s="187"/>
      <c r="L18" s="165"/>
      <c r="M18" s="196"/>
      <c r="N18" s="72"/>
    </row>
    <row r="19" spans="1:16" ht="16.5">
      <c r="A19" s="65">
        <v>46008</v>
      </c>
      <c r="B19" s="91"/>
      <c r="C19" s="93"/>
      <c r="D19" s="140"/>
      <c r="E19" s="147"/>
      <c r="F19" s="148"/>
      <c r="G19" s="149"/>
      <c r="H19" s="80"/>
      <c r="I19" s="241"/>
      <c r="J19" s="261"/>
      <c r="K19" s="187"/>
      <c r="L19" s="255"/>
      <c r="M19" s="201"/>
      <c r="N19" s="211" t="s">
        <v>65</v>
      </c>
      <c r="O19" s="211">
        <v>10</v>
      </c>
      <c r="P19" s="78"/>
    </row>
    <row r="20" spans="1:16" ht="16.5">
      <c r="A20" s="65">
        <v>46009</v>
      </c>
      <c r="B20" s="91"/>
      <c r="C20" s="93"/>
      <c r="D20" s="143"/>
      <c r="E20" s="147"/>
      <c r="F20" s="148"/>
      <c r="G20" s="149"/>
      <c r="H20" s="80"/>
      <c r="I20" s="241"/>
      <c r="J20" s="261"/>
      <c r="K20" s="62"/>
      <c r="L20" s="259"/>
      <c r="M20" s="196"/>
      <c r="N20" s="211" t="s">
        <v>66</v>
      </c>
      <c r="O20" s="211">
        <v>20</v>
      </c>
      <c r="P20" s="78"/>
    </row>
    <row r="21" spans="1:16" ht="16.5">
      <c r="A21" s="65">
        <v>46010</v>
      </c>
      <c r="B21" s="91"/>
      <c r="C21" s="93"/>
      <c r="D21" s="140"/>
      <c r="E21" s="147"/>
      <c r="F21" s="148"/>
      <c r="G21" s="149"/>
      <c r="H21" s="80"/>
      <c r="I21" s="241"/>
      <c r="J21" s="261"/>
      <c r="K21" s="62"/>
      <c r="L21" s="257"/>
      <c r="M21" s="196"/>
      <c r="N21" s="211" t="s">
        <v>96</v>
      </c>
      <c r="O21" s="211">
        <v>30</v>
      </c>
      <c r="P21" s="77"/>
    </row>
    <row r="22" spans="1:16" ht="16.5">
      <c r="A22" s="65">
        <v>46011</v>
      </c>
      <c r="B22" s="91"/>
      <c r="C22" s="93"/>
      <c r="D22" s="140"/>
      <c r="E22" s="147"/>
      <c r="F22" s="148"/>
      <c r="G22" s="149"/>
      <c r="H22" s="80"/>
      <c r="I22" s="241"/>
      <c r="J22" s="261"/>
      <c r="K22" s="62"/>
      <c r="L22" s="257"/>
      <c r="M22" s="196"/>
      <c r="N22" s="212" t="s">
        <v>67</v>
      </c>
      <c r="O22" s="212">
        <v>20</v>
      </c>
      <c r="P22" s="77"/>
    </row>
    <row r="23" spans="1:16" ht="16.5">
      <c r="A23" s="65">
        <v>46012</v>
      </c>
      <c r="B23" s="91"/>
      <c r="C23" s="93"/>
      <c r="D23" s="140"/>
      <c r="E23" s="147"/>
      <c r="F23" s="148"/>
      <c r="G23" s="149"/>
      <c r="H23" s="80"/>
      <c r="I23" s="241"/>
      <c r="J23" s="261"/>
      <c r="K23" s="62"/>
      <c r="L23" s="262"/>
      <c r="M23" s="201"/>
      <c r="N23" s="212" t="s">
        <v>68</v>
      </c>
      <c r="O23" s="212">
        <v>10</v>
      </c>
      <c r="P23" s="77"/>
    </row>
    <row r="24" spans="1:16" ht="16.5">
      <c r="A24" s="65">
        <v>46013</v>
      </c>
      <c r="B24" s="91"/>
      <c r="C24" s="93"/>
      <c r="D24" s="140"/>
      <c r="E24" s="147"/>
      <c r="F24" s="148"/>
      <c r="G24" s="149"/>
      <c r="H24" s="80"/>
      <c r="I24" s="241"/>
      <c r="J24" s="261"/>
      <c r="K24" s="62"/>
      <c r="L24" s="254"/>
      <c r="M24" s="196"/>
      <c r="N24" s="212" t="s">
        <v>22</v>
      </c>
      <c r="O24" s="212">
        <v>15</v>
      </c>
      <c r="P24" s="216">
        <v>7</v>
      </c>
    </row>
    <row r="25" spans="1:16" ht="16.5">
      <c r="A25" s="65">
        <v>46014</v>
      </c>
      <c r="B25" s="91"/>
      <c r="C25" s="93"/>
      <c r="D25" s="140"/>
      <c r="E25" s="147"/>
      <c r="F25" s="148"/>
      <c r="G25" s="149"/>
      <c r="J25" s="59"/>
      <c r="K25" s="62"/>
      <c r="L25" s="174" t="s">
        <v>93</v>
      </c>
      <c r="M25" s="175">
        <f>SUM(M4:M24)</f>
        <v>0</v>
      </c>
      <c r="N25" s="214"/>
      <c r="O25" s="214"/>
      <c r="P25" s="76">
        <v>6</v>
      </c>
    </row>
    <row r="26" spans="1:16" ht="16.5">
      <c r="A26" s="65">
        <v>46015</v>
      </c>
      <c r="B26" s="91"/>
      <c r="C26" s="93"/>
      <c r="D26" s="140"/>
      <c r="E26" s="147"/>
      <c r="F26" s="148"/>
      <c r="G26" s="149"/>
      <c r="H26" s="80"/>
      <c r="I26" s="241"/>
      <c r="J26" s="261"/>
      <c r="K26" s="62"/>
      <c r="L26" s="19"/>
      <c r="M26" s="12"/>
      <c r="N26" s="214" t="s">
        <v>98</v>
      </c>
      <c r="O26" s="214">
        <v>15</v>
      </c>
      <c r="P26" s="76">
        <v>1.5</v>
      </c>
    </row>
    <row r="27" spans="1:16" ht="16.5">
      <c r="A27" s="65">
        <v>46016</v>
      </c>
      <c r="B27" s="91"/>
      <c r="C27" s="93"/>
      <c r="D27" s="144"/>
      <c r="E27" s="147"/>
      <c r="F27" s="148"/>
      <c r="G27" s="149"/>
      <c r="H27" s="80"/>
      <c r="I27" s="241"/>
      <c r="J27" s="261"/>
      <c r="K27" s="62"/>
      <c r="L27" s="80"/>
      <c r="N27" s="79" t="s">
        <v>69</v>
      </c>
      <c r="O27" s="79">
        <f>SUM(O19:O26)/60</f>
        <v>2</v>
      </c>
    </row>
    <row r="28" spans="1:16" ht="37.5" customHeight="1" thickBot="1">
      <c r="A28" s="65">
        <v>46017</v>
      </c>
      <c r="B28" s="264"/>
      <c r="C28" s="93"/>
      <c r="D28" s="145"/>
      <c r="E28" s="147"/>
      <c r="F28" s="148"/>
      <c r="G28" s="149"/>
      <c r="H28" s="80"/>
      <c r="I28" s="241"/>
      <c r="J28" s="261"/>
      <c r="K28" s="265"/>
      <c r="L28" s="249" t="s">
        <v>147</v>
      </c>
      <c r="M28" s="249"/>
      <c r="N28" s="249"/>
      <c r="O28" s="249"/>
      <c r="P28" s="249">
        <v>7</v>
      </c>
    </row>
    <row r="29" spans="1:16" ht="22.5" customHeight="1" thickTop="1" thickBot="1">
      <c r="A29" s="65">
        <v>46018</v>
      </c>
      <c r="B29" s="91"/>
      <c r="C29" s="93"/>
      <c r="D29" s="140"/>
      <c r="E29" s="147"/>
      <c r="F29" s="148"/>
      <c r="G29" s="149"/>
      <c r="H29" s="80"/>
      <c r="I29" s="241"/>
      <c r="J29" s="261"/>
      <c r="K29" s="62"/>
      <c r="L29" s="249"/>
      <c r="M29" s="249"/>
      <c r="N29" s="249"/>
      <c r="O29" s="249"/>
      <c r="P29" s="249"/>
    </row>
    <row r="30" spans="1:16" ht="21.75" customHeight="1" thickTop="1">
      <c r="A30" s="65">
        <v>46019</v>
      </c>
      <c r="B30" s="91"/>
      <c r="C30" s="93"/>
      <c r="D30" s="140"/>
      <c r="E30" s="147"/>
      <c r="F30" s="148"/>
      <c r="G30" s="149"/>
      <c r="H30" s="80"/>
      <c r="I30" s="241"/>
      <c r="J30" s="261"/>
      <c r="K30" s="62"/>
    </row>
    <row r="31" spans="1:16" ht="16.5">
      <c r="A31" s="65">
        <v>46020</v>
      </c>
      <c r="B31" s="91"/>
      <c r="C31" s="93"/>
      <c r="D31" s="140"/>
      <c r="E31" s="147"/>
      <c r="F31" s="148"/>
      <c r="G31" s="149"/>
      <c r="H31" s="80"/>
      <c r="I31" s="241"/>
      <c r="J31" s="261"/>
      <c r="K31" s="62"/>
      <c r="P31" s="76">
        <v>6</v>
      </c>
    </row>
    <row r="32" spans="1:16" ht="16.5">
      <c r="A32" s="65">
        <v>46021</v>
      </c>
      <c r="B32" s="91"/>
      <c r="C32" s="93"/>
      <c r="D32" s="140"/>
      <c r="E32" s="147"/>
      <c r="F32" s="148"/>
      <c r="G32" s="149"/>
      <c r="H32" s="80"/>
      <c r="I32" s="241"/>
      <c r="J32" s="261"/>
      <c r="K32" s="62"/>
      <c r="P32" s="76">
        <v>8</v>
      </c>
    </row>
    <row r="33" spans="1:17" ht="16.5">
      <c r="A33" s="65">
        <v>46022</v>
      </c>
      <c r="B33" s="91">
        <v>3</v>
      </c>
      <c r="C33" s="94"/>
      <c r="D33" s="146"/>
      <c r="E33" s="150"/>
      <c r="F33" s="151"/>
      <c r="G33" s="152"/>
      <c r="H33" s="80"/>
      <c r="I33" s="241"/>
      <c r="J33" s="261"/>
      <c r="K33" s="62"/>
      <c r="L33" s="80"/>
      <c r="P33" s="80"/>
    </row>
    <row r="34" spans="1:17" ht="16.5">
      <c r="A34" s="65"/>
      <c r="B34" s="80"/>
      <c r="C34" s="80"/>
      <c r="D34" s="80"/>
      <c r="E34" s="80"/>
      <c r="F34" s="34"/>
      <c r="G34" s="34"/>
      <c r="H34" s="80"/>
      <c r="I34" s="241"/>
      <c r="J34" s="261"/>
      <c r="K34" s="80"/>
    </row>
    <row r="35" spans="1:17">
      <c r="A35" s="76" t="s">
        <v>17</v>
      </c>
      <c r="B35" s="76">
        <v>3</v>
      </c>
      <c r="N35" s="76" t="s">
        <v>134</v>
      </c>
      <c r="O35" s="76">
        <v>9.6</v>
      </c>
    </row>
    <row r="36" spans="1:17">
      <c r="N36" s="76" t="s">
        <v>127</v>
      </c>
      <c r="O36" s="76">
        <v>18</v>
      </c>
    </row>
    <row r="37" spans="1:17">
      <c r="N37" s="76" t="s">
        <v>135</v>
      </c>
      <c r="O37" s="76">
        <v>41</v>
      </c>
    </row>
    <row r="38" spans="1:17">
      <c r="N38" s="76" t="s">
        <v>136</v>
      </c>
      <c r="O38" s="76">
        <v>10</v>
      </c>
    </row>
    <row r="40" spans="1:17" ht="30">
      <c r="N40" s="1" t="s">
        <v>137</v>
      </c>
      <c r="O40" s="76">
        <f>SUM(O35:O38)</f>
        <v>78.599999999999994</v>
      </c>
    </row>
    <row r="41" spans="1:17">
      <c r="N41" s="343"/>
      <c r="O41" s="343"/>
      <c r="P41" s="343"/>
      <c r="Q41" s="343"/>
    </row>
    <row r="42" spans="1:17">
      <c r="N42" s="376"/>
      <c r="O42" s="376"/>
      <c r="P42" s="376"/>
      <c r="Q42" s="376"/>
    </row>
    <row r="43" spans="1:17">
      <c r="N43" s="76" t="s">
        <v>138</v>
      </c>
      <c r="O43" s="76" t="s">
        <v>139</v>
      </c>
      <c r="P43" s="76" t="s">
        <v>142</v>
      </c>
      <c r="Q43" s="76" t="s">
        <v>145</v>
      </c>
    </row>
    <row r="44" spans="1:17">
      <c r="N44" s="76" t="s">
        <v>140</v>
      </c>
      <c r="O44" s="76" t="s">
        <v>141</v>
      </c>
      <c r="P44" s="76" t="s">
        <v>144</v>
      </c>
      <c r="Q44" s="76" t="s">
        <v>143</v>
      </c>
    </row>
    <row r="55" spans="5:5">
      <c r="E55" s="15"/>
    </row>
    <row r="56" spans="5:5">
      <c r="E56" s="15"/>
    </row>
    <row r="58" spans="5:5">
      <c r="E58" s="15"/>
    </row>
  </sheetData>
  <mergeCells count="3">
    <mergeCell ref="P1:S1"/>
    <mergeCell ref="N41:Q41"/>
    <mergeCell ref="N42:Q42"/>
  </mergeCells>
  <conditionalFormatting sqref="B3:B4 B6:B33">
    <cfRule type="cellIs" dxfId="8" priority="2" operator="lessThan">
      <formula>$B$35</formula>
    </cfRule>
    <cfRule type="cellIs" dxfId="7" priority="3" operator="between">
      <formula>$B$35</formula>
      <formula>3</formula>
    </cfRule>
    <cfRule type="cellIs" dxfId="6" priority="4" operator="greaterThan">
      <formula>$B$35</formula>
    </cfRule>
  </conditionalFormatting>
  <conditionalFormatting sqref="A3:A34">
    <cfRule type="expression" dxfId="5" priority="1">
      <formula>WEEKDAY(A3,2)&gt;5</formula>
    </cfRule>
  </conditionalFormatting>
  <pageMargins left="0.7" right="0.7" top="0.75" bottom="0.75" header="0.3" footer="0.3"/>
  <pageSetup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I61"/>
  <sheetViews>
    <sheetView topLeftCell="A22" workbookViewId="0">
      <selection activeCell="F34" sqref="F34"/>
    </sheetView>
  </sheetViews>
  <sheetFormatPr defaultRowHeight="15"/>
  <cols>
    <col min="4" max="4" width="35.140625" customWidth="1"/>
    <col min="5" max="5" width="12.7109375" customWidth="1"/>
    <col min="6" max="6" width="35.85546875" customWidth="1"/>
    <col min="8" max="8" width="32.5703125" customWidth="1"/>
    <col min="9" max="9" width="17.7109375" customWidth="1"/>
  </cols>
  <sheetData>
    <row r="1" spans="4:9" ht="15.75" thickBot="1"/>
    <row r="2" spans="4:9" ht="15.75" thickBot="1">
      <c r="D2" s="96"/>
      <c r="E2" s="96"/>
      <c r="I2" s="130"/>
    </row>
    <row r="3" spans="4:9" ht="15.75" thickBot="1">
      <c r="D3" s="96"/>
      <c r="E3" s="97"/>
    </row>
    <row r="4" spans="4:9" ht="18.75" thickBot="1">
      <c r="D4" s="122"/>
      <c r="E4" s="123"/>
    </row>
    <row r="5" spans="4:9" ht="18.75" thickBot="1">
      <c r="D5" s="122"/>
      <c r="E5" s="123"/>
    </row>
    <row r="6" spans="4:9" ht="16.5" thickBot="1">
      <c r="D6" s="136"/>
      <c r="E6" s="108"/>
    </row>
    <row r="7" spans="4:9" ht="16.5" thickBot="1">
      <c r="D7" s="136"/>
      <c r="E7" s="109"/>
    </row>
    <row r="8" spans="4:9" ht="18.75" thickBot="1">
      <c r="D8" s="129"/>
      <c r="E8" s="131"/>
    </row>
    <row r="9" spans="4:9" ht="18.75" thickBot="1">
      <c r="D9" s="132"/>
      <c r="E9" s="135"/>
    </row>
    <row r="10" spans="4:9" ht="15.75" thickBot="1">
      <c r="D10" s="96"/>
      <c r="E10" s="97"/>
    </row>
    <row r="11" spans="4:9" ht="16.5" thickBot="1">
      <c r="D11" s="136"/>
      <c r="E11" s="108"/>
    </row>
    <row r="12" spans="4:9" ht="15.75" thickBot="1">
      <c r="D12" s="106"/>
      <c r="E12" s="107"/>
    </row>
    <row r="13" spans="4:9" ht="18.75" thickBot="1">
      <c r="D13" s="129"/>
      <c r="E13" s="131"/>
    </row>
    <row r="14" spans="4:9" ht="15.75" thickBot="1">
      <c r="D14" s="98"/>
      <c r="E14" s="99"/>
    </row>
    <row r="15" spans="4:9" ht="19.5" thickBot="1">
      <c r="D15" s="118"/>
      <c r="E15" s="119"/>
    </row>
    <row r="16" spans="4:9" ht="15.75" thickBot="1">
      <c r="D16" s="96"/>
      <c r="E16" s="97"/>
    </row>
    <row r="17" spans="4:6" ht="15.75" thickBot="1">
      <c r="D17" s="96"/>
      <c r="E17" s="97"/>
    </row>
    <row r="18" spans="4:6" ht="15.75" thickBot="1">
      <c r="D18" s="96"/>
      <c r="E18" s="97"/>
    </row>
    <row r="19" spans="4:6" ht="18.75" thickBot="1">
      <c r="D19" s="112"/>
      <c r="E19" s="113"/>
    </row>
    <row r="20" spans="4:6" ht="15.75" thickBot="1">
      <c r="D20" s="96"/>
      <c r="E20" s="97"/>
    </row>
    <row r="21" spans="4:6" ht="15.75" thickBot="1">
      <c r="D21" s="96"/>
      <c r="E21" s="97"/>
    </row>
    <row r="22" spans="4:6" ht="15.75" thickBot="1">
      <c r="D22" s="96"/>
      <c r="E22" s="97"/>
    </row>
    <row r="23" spans="4:6" ht="18.75" thickBot="1">
      <c r="D23" s="127" t="s">
        <v>295</v>
      </c>
      <c r="E23" s="128">
        <v>22</v>
      </c>
    </row>
    <row r="24" spans="4:6" ht="16.5" thickBot="1">
      <c r="D24" s="332">
        <v>46357</v>
      </c>
      <c r="E24" s="109">
        <v>72</v>
      </c>
    </row>
    <row r="25" spans="4:6" ht="15.75" thickBot="1">
      <c r="D25" s="331">
        <v>46023</v>
      </c>
      <c r="E25" s="97">
        <v>50</v>
      </c>
    </row>
    <row r="26" spans="4:6" ht="15.75" thickBot="1">
      <c r="D26" s="96" t="s">
        <v>297</v>
      </c>
      <c r="E26" s="97">
        <v>36</v>
      </c>
    </row>
    <row r="27" spans="4:6" ht="15.75" thickBot="1">
      <c r="D27" s="96" t="s">
        <v>296</v>
      </c>
      <c r="E27" s="97">
        <v>21</v>
      </c>
    </row>
    <row r="28" spans="4:6" ht="18.75" thickBot="1">
      <c r="D28" s="116" t="s">
        <v>93</v>
      </c>
      <c r="E28" s="117">
        <f>SUM(E23:E27)</f>
        <v>201</v>
      </c>
      <c r="F28" t="s">
        <v>298</v>
      </c>
    </row>
    <row r="29" spans="4:6" ht="15.75" thickBot="1">
      <c r="D29" s="96"/>
      <c r="E29" s="97"/>
    </row>
    <row r="30" spans="4:6" ht="15.75" thickBot="1">
      <c r="D30" s="96"/>
      <c r="E30" s="97"/>
    </row>
    <row r="31" spans="4:6" ht="18.75" thickBot="1">
      <c r="D31" s="132"/>
      <c r="E31" s="133"/>
    </row>
    <row r="32" spans="4:6" ht="15.75" thickBot="1">
      <c r="D32" s="102"/>
      <c r="E32" s="103"/>
    </row>
    <row r="33" spans="4:5" ht="15.75" thickBot="1">
      <c r="D33" s="100"/>
      <c r="E33" s="101"/>
    </row>
    <row r="34" spans="4:5" ht="15.75" thickBot="1">
      <c r="D34" s="139"/>
      <c r="E34" s="97"/>
    </row>
    <row r="35" spans="4:5" ht="15.75" thickBot="1">
      <c r="D35" s="139"/>
      <c r="E35" s="97"/>
    </row>
    <row r="36" spans="4:5" ht="15.75" thickBot="1">
      <c r="D36" s="137"/>
      <c r="E36" s="101"/>
    </row>
    <row r="37" spans="4:5" ht="15.75" thickBot="1">
      <c r="D37" s="138"/>
      <c r="E37" s="103"/>
    </row>
    <row r="38" spans="4:5" ht="18.75" thickBot="1">
      <c r="D38" s="122"/>
      <c r="E38" s="123"/>
    </row>
    <row r="39" spans="4:5" ht="18.75" thickBot="1">
      <c r="D39" s="121"/>
      <c r="E39" s="126"/>
    </row>
    <row r="40" spans="4:5" ht="18.75" thickBot="1">
      <c r="D40" s="124"/>
      <c r="E40" s="125"/>
    </row>
    <row r="41" spans="4:5" ht="15.75" thickBot="1">
      <c r="D41" s="96"/>
      <c r="E41" s="97"/>
    </row>
    <row r="42" spans="4:5" ht="18.75" thickBot="1">
      <c r="D42" s="110"/>
      <c r="E42" s="111"/>
    </row>
    <row r="43" spans="4:5" ht="18.75" thickBot="1">
      <c r="D43" s="114"/>
      <c r="E43" s="115"/>
    </row>
    <row r="44" spans="4:5" ht="18.75" thickBot="1">
      <c r="D44" s="122"/>
      <c r="E44" s="123"/>
    </row>
    <row r="45" spans="4:5" ht="15.75" thickBot="1">
      <c r="D45" s="100"/>
      <c r="E45" s="101"/>
    </row>
    <row r="46" spans="4:5" ht="18.75" thickBot="1">
      <c r="D46" s="114"/>
      <c r="E46" s="115"/>
    </row>
    <row r="47" spans="4:5" ht="18.75" thickBot="1">
      <c r="D47" s="129"/>
      <c r="E47" s="134"/>
    </row>
    <row r="48" spans="4:5" ht="15.75" thickBot="1">
      <c r="D48" s="96"/>
      <c r="E48" s="97"/>
    </row>
    <row r="49" spans="4:5" ht="18.75" thickBot="1">
      <c r="D49" s="124"/>
      <c r="E49" s="125"/>
    </row>
    <row r="50" spans="4:5" ht="15.75" thickBot="1">
      <c r="D50" s="96"/>
      <c r="E50" s="97"/>
    </row>
    <row r="51" spans="4:5" ht="18.75" thickBot="1">
      <c r="D51" s="112"/>
      <c r="E51" s="111"/>
    </row>
    <row r="52" spans="4:5" ht="15.75" thickBot="1">
      <c r="D52" s="96"/>
      <c r="E52" s="97"/>
    </row>
    <row r="53" spans="4:5" ht="18.75" thickBot="1">
      <c r="D53" s="121"/>
      <c r="E53" s="126"/>
    </row>
    <row r="54" spans="4:5" ht="15.75" thickBot="1">
      <c r="D54" s="96"/>
      <c r="E54" s="97"/>
    </row>
    <row r="55" spans="4:5" ht="15.75" thickBot="1">
      <c r="D55" s="96"/>
      <c r="E55" s="97"/>
    </row>
    <row r="56" spans="4:5" ht="15.75" thickBot="1">
      <c r="D56" s="96"/>
      <c r="E56" s="96"/>
    </row>
    <row r="57" spans="4:5" ht="15.75" thickBot="1">
      <c r="D57" s="96"/>
      <c r="E57" s="97"/>
    </row>
    <row r="58" spans="4:5" ht="15.75" thickBot="1">
      <c r="D58" s="104"/>
      <c r="E58" s="104"/>
    </row>
    <row r="59" spans="4:5" ht="18.75" thickBot="1">
      <c r="D59" s="110"/>
      <c r="E59" s="111"/>
    </row>
    <row r="60" spans="4:5" ht="18.75" thickBot="1">
      <c r="D60" s="121"/>
      <c r="E60" s="120"/>
    </row>
    <row r="61" spans="4:5" ht="15.75" thickBot="1">
      <c r="D61" s="105"/>
      <c r="E61" s="105"/>
    </row>
  </sheetData>
  <sortState ref="D4:E61">
    <sortCondition descending="1" ref="E4:E6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Rules</vt:lpstr>
      <vt:lpstr>1.jan</vt:lpstr>
      <vt:lpstr>2.feb</vt:lpstr>
      <vt:lpstr>3.march</vt:lpstr>
      <vt:lpstr>4.apr</vt:lpstr>
      <vt:lpstr>5.may</vt:lpstr>
      <vt:lpstr>6.june </vt:lpstr>
      <vt:lpstr>7.july</vt:lpstr>
      <vt:lpstr>8.aug </vt:lpstr>
      <vt:lpstr>9.sept </vt:lpstr>
      <vt:lpstr>10.oct (2)</vt:lpstr>
      <vt:lpstr>11. nov </vt:lpstr>
      <vt:lpstr>12.dec</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2026-04-06T08:25:16Z</dcterms:modified>
</cp:coreProperties>
</file>